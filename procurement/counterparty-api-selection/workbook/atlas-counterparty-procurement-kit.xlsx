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39403ae80247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s" sheetId="1" r:id="Ra969c390ef184a6e"/>
    <x:sheet xmlns:r="http://schemas.openxmlformats.org/officeDocument/2006/relationships" name="Provider Inputs" sheetId="2" r:id="R2ae956e144b64b60"/>
    <x:sheet xmlns:r="http://schemas.openxmlformats.org/officeDocument/2006/relationships" name="TCO Calculator" sheetId="3" r:id="R9168e98c7ac746d2"/>
    <x:sheet xmlns:r="http://schemas.openxmlformats.org/officeDocument/2006/relationships" name="Scorecard" sheetId="4" r:id="R26bf50db153644a4"/>
    <x:sheet xmlns:r="http://schemas.openxmlformats.org/officeDocument/2006/relationships" name="Test Cases" sheetId="5" r:id="Rba1d96d51e124d50"/>
    <x:sheet xmlns:r="http://schemas.openxmlformats.org/officeDocument/2006/relationships" name="Test Results" sheetId="6" r:id="R7eaaa04bcc2045fc"/>
    <x:sheet xmlns:r="http://schemas.openxmlformats.org/officeDocument/2006/relationships" name="RFP Tracker" sheetId="7" r:id="R0e3c1a27ce3a434e"/>
    <x:sheet xmlns:r="http://schemas.openxmlformats.org/officeDocument/2006/relationships" name="Sources" sheetId="8" r:id="R6c94ef4bbd2f45e5"/>
    <x:sheet xmlns:r="http://schemas.openxmlformats.org/officeDocument/2006/relationships" name="Dashboard" sheetId="9" r:id="R6d6bc99d38ab46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0"/>
    <x:numFmt numFmtId="201" formatCode="#,##0"/>
    <x:numFmt numFmtId="202" formatCode="0%"/>
    <x:numFmt numFmtId="203" formatCode="yyyy-mm-dd"/>
    <x:numFmt numFmtId="204" formatCode="#,##0 &quot;₽&quot;"/>
    <x:numFmt numFmtId="205" formatCode="0.0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595959"/>
      <x:name val="Carlito"/>
    </x:font>
    <x:font>
      <x:b/>
      <x:sz val="11"/>
      <x:color rgb="FF17324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2F5597"/>
      </x:patternFill>
    </x:fill>
    <x:fill>
      <x:patternFill patternType="solid">
        <x:fgColor rgb="FF17324D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DCE6F1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80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5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5" borderId="8" xfId="0" applyNumberFormat="1" applyFont="1" applyFill="1" applyBorder="1"/>
    <x:xf numFmtId="0" fontId="0" fillId="6" borderId="8" xfId="0" applyNumberFormat="1" applyFont="1" applyFill="1" applyBorder="1"/>
    <x:xf numFmtId="0" fontId="0" fillId="5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5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5" borderId="16" xfId="0" applyNumberFormat="1" applyFont="1" applyFill="1" applyBorder="1"/>
    <x:xf numFmtId="0" fontId="0" fillId="6" borderId="16" xfId="0" applyNumberFormat="1" applyFont="1" applyFill="1" applyBorder="1"/>
    <x:xf numFmtId="0" fontId="0" fillId="5" borderId="1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6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5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5" borderId="16" xfId="0" applyNumberFormat="1" applyFont="1" applyFill="1" applyBorder="1" applyAlignment="1">
      <x:alignment wrapText="1"/>
    </x:xf>
    <x:xf numFmtId="0" fontId="0" fillId="6" borderId="16" xfId="0" applyNumberFormat="1" applyFont="1" applyFill="1" applyBorder="1" applyAlignment="1">
      <x:alignment wrapText="1"/>
    </x:xf>
    <x:xf numFmtId="0" fontId="0" fillId="5" borderId="17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200" fontId="0" fillId="5" borderId="8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200" fontId="0" fillId="5" borderId="16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201" fontId="0" fillId="5" borderId="8" xfId="0" applyNumberFormat="1" applyFont="1" applyFill="1" applyBorder="1" applyAlignment="1">
      <x:alignment wrapText="1"/>
    </x:xf>
    <x:xf numFmtId="201" fontId="0" fillId="5" borderId="1" xfId="0" applyNumberFormat="1" applyFont="1" applyFill="1" applyBorder="1" applyAlignment="1">
      <x:alignment wrapText="1"/>
    </x:xf>
    <x:xf numFmtId="201" fontId="0" fillId="5" borderId="16" xfId="0" applyNumberFormat="1" applyFont="1" applyFill="1" applyBorder="1" applyAlignment="1">
      <x:alignment wrapText="1"/>
    </x:xf>
    <x:xf numFmtId="202" fontId="0" fillId="5" borderId="0" xfId="0" applyNumberFormat="1" applyFont="1" applyFill="1" applyBorder="1" applyAlignment="1">
      <x:alignment wrapText="1"/>
    </x:xf>
    <x:xf numFmtId="202" fontId="0" fillId="5" borderId="8" xfId="0" applyNumberFormat="1" applyFont="1" applyFill="1" applyBorder="1" applyAlignment="1">
      <x:alignment wrapText="1"/>
    </x:xf>
    <x:xf numFmtId="202" fontId="0" fillId="5" borderId="1" xfId="0" applyNumberFormat="1" applyFont="1" applyFill="1" applyBorder="1" applyAlignment="1">
      <x:alignment wrapText="1"/>
    </x:xf>
    <x:xf numFmtId="202" fontId="0" fillId="5" borderId="16" xfId="0" applyNumberFormat="1" applyFont="1" applyFill="1" applyBorder="1" applyAlignment="1">
      <x:alignment wrapText="1"/>
    </x:xf>
    <x:xf numFmtId="201" fontId="0" fillId="6" borderId="0" xfId="0" applyNumberFormat="1" applyFont="1" applyFill="1" applyBorder="1" applyAlignment="1">
      <x:alignment wrapText="1"/>
    </x:xf>
    <x:xf numFmtId="201" fontId="0" fillId="6" borderId="8" xfId="0" applyNumberFormat="1" applyFont="1" applyFill="1" applyBorder="1" applyAlignment="1">
      <x:alignment wrapText="1"/>
    </x:xf>
    <x:xf numFmtId="201" fontId="0" fillId="6" borderId="1" xfId="0" applyNumberFormat="1" applyFont="1" applyFill="1" applyBorder="1" applyAlignment="1">
      <x:alignment wrapText="1"/>
    </x:xf>
    <x:xf numFmtId="201" fontId="0" fillId="6" borderId="16" xfId="0" applyNumberFormat="1" applyFont="1" applyFill="1" applyBorder="1" applyAlignment="1">
      <x:alignment wrapText="1"/>
    </x:xf>
    <x:xf numFmtId="203" fontId="0" fillId="5" borderId="6" xfId="0" applyNumberFormat="1" applyFont="1" applyFill="1" applyBorder="1" applyAlignment="1">
      <x:alignment wrapText="1"/>
    </x:xf>
    <x:xf numFmtId="203" fontId="0" fillId="5" borderId="9" xfId="0" applyNumberFormat="1" applyFont="1" applyFill="1" applyBorder="1" applyAlignment="1">
      <x:alignment wrapText="1"/>
    </x:xf>
    <x:xf numFmtId="203" fontId="0" fillId="5" borderId="14" xfId="0" applyNumberFormat="1" applyFont="1" applyFill="1" applyBorder="1" applyAlignment="1">
      <x:alignment wrapText="1"/>
    </x:xf>
    <x:xf numFmtId="203" fontId="0" fillId="5" borderId="17" xfId="0" applyNumberFormat="1" applyFont="1" applyFill="1" applyBorder="1" applyAlignment="1">
      <x:alignment wrapText="1"/>
    </x:xf>
    <x:xf numFmtId="0" fontId="0" fillId="0" borderId="6" xfId="0" applyNumberFormat="1" applyFont="1" applyFill="1" applyBorder="1"/>
    <x:xf numFmtId="0" fontId="0" fillId="0" borderId="9" xfId="0" applyNumberFormat="1" applyFont="1" applyFill="1" applyBorder="1"/>
    <x:xf numFmtId="0" fontId="0" fillId="0" borderId="14" xfId="0" applyNumberFormat="1" applyFont="1" applyFill="1" applyBorder="1"/>
    <x:xf numFmtId="0" fontId="0" fillId="0" borderId="17" xfId="0" applyNumberFormat="1" applyFont="1" applyFill="1" applyBorder="1"/>
    <x:xf numFmtId="204" fontId="0" fillId="0" borderId="0" xfId="0" applyNumberFormat="1" applyFont="1" applyFill="1" applyBorder="1"/>
    <x:xf numFmtId="204" fontId="0" fillId="0" borderId="8" xfId="0" applyNumberFormat="1" applyFont="1" applyFill="1" applyBorder="1"/>
    <x:xf numFmtId="204" fontId="0" fillId="0" borderId="1" xfId="0" applyNumberFormat="1" applyFont="1" applyFill="1" applyBorder="1"/>
    <x:xf numFmtId="204" fontId="0" fillId="0" borderId="16" xfId="0" applyNumberFormat="1" applyFont="1" applyFill="1" applyBorder="1"/>
    <x:xf numFmtId="202" fontId="0" fillId="0" borderId="0" xfId="0" applyNumberFormat="1" applyFont="1" applyFill="1" applyBorder="1"/>
    <x:xf numFmtId="202" fontId="0" fillId="0" borderId="8" xfId="0" applyNumberFormat="1" applyFont="1" applyFill="1" applyBorder="1"/>
    <x:xf numFmtId="202" fontId="0" fillId="0" borderId="1" xfId="0" applyNumberFormat="1" applyFont="1" applyFill="1" applyBorder="1"/>
    <x:xf numFmtId="202" fontId="0" fillId="0" borderId="16" xfId="0" applyNumberFormat="1" applyFont="1" applyFill="1" applyBorder="1"/>
    <x:xf numFmtId="204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4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204" fontId="0" fillId="0" borderId="16" xfId="0" applyNumberFormat="1" applyFont="1" applyFill="1" applyBorder="1" applyAlignment="1">
      <x:alignment wrapText="1"/>
    </x:xf>
    <x:xf numFmtId="202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vertical="center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/>
    <x:xf numFmtId="205" fontId="0" fillId="0" borderId="8" xfId="0" applyNumberFormat="1" applyFont="1" applyFill="1" applyBorder="1"/>
    <x:xf numFmtId="205" fontId="0" fillId="0" borderId="1" xfId="0" applyNumberFormat="1" applyFont="1" applyFill="1" applyBorder="1"/>
    <x:xf numFmtId="205" fontId="0" fillId="0" borderId="16" xfId="0" applyNumberFormat="1" applyFont="1" applyFill="1" applyBorder="1"/>
    <x:xf numFmtId="0" fontId="4" fillId="7" borderId="0" xfId="0" applyNumberFormat="1" applyFont="1" applyFill="1" applyBorder="1" applyAlignment="1">
      <x:alignment vertical="center" wrapText="1"/>
    </x:xf>
    <x:xf numFmtId="205" fontId="0" fillId="0" borderId="0" xfId="0" applyNumberFormat="1" applyFont="1" applyFill="1" applyBorder="1" applyAlignment="1">
      <x:alignment wrapText="1"/>
    </x:xf>
    <x:xf numFmtId="205" fontId="0" fillId="0" borderId="8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vertical="center" wrapText="1"/>
    </x:xf>
    <x:xf numFmtId="205" fontId="0" fillId="0" borderId="1" xfId="0" applyNumberFormat="1" applyFont="1" applyFill="1" applyBorder="1" applyAlignment="1">
      <x:alignment wrapText="1"/>
    </x:xf>
    <x:xf numFmtId="205" fontId="0" fillId="0" borderId="16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3" fontId="0" fillId="5" borderId="0" xfId="0" applyNumberFormat="1" applyFont="1" applyFill="1" applyBorder="1"/>
    <x:xf numFmtId="201" fontId="0" fillId="5" borderId="0" xfId="0" applyNumberFormat="1" applyFont="1" applyFill="1" applyBorder="1"/>
    <x:xf numFmtId="202" fontId="0" fillId="5" borderId="0" xfId="0" applyNumberFormat="1" applyFont="1" applyFill="1" applyBorder="1"/>
    <x:xf numFmtId="200" fontId="0" fillId="5" borderId="0" xfId="0" applyNumberFormat="1" applyFont="1" applyFill="1" applyBorder="1"/>
    <x:xf numFmtId="203" fontId="0" fillId="5" borderId="1" xfId="0" applyNumberFormat="1" applyFont="1" applyFill="1" applyBorder="1"/>
    <x:xf numFmtId="201" fontId="0" fillId="5" borderId="1" xfId="0" applyNumberFormat="1" applyFont="1" applyFill="1" applyBorder="1"/>
    <x:xf numFmtId="202" fontId="0" fillId="5" borderId="1" xfId="0" applyNumberFormat="1" applyFont="1" applyFill="1" applyBorder="1"/>
    <x:xf numFmtId="200" fontId="0" fillId="5" borderId="1" xfId="0" applyNumberFormat="1" applyFont="1" applyFill="1" applyBorder="1"/>
    <x:xf numFmtId="203" fontId="0" fillId="5" borderId="8" xfId="0" applyNumberFormat="1" applyFont="1" applyFill="1" applyBorder="1"/>
    <x:xf numFmtId="201" fontId="0" fillId="5" borderId="8" xfId="0" applyNumberFormat="1" applyFont="1" applyFill="1" applyBorder="1"/>
    <x:xf numFmtId="202" fontId="0" fillId="5" borderId="8" xfId="0" applyNumberFormat="1" applyFont="1" applyFill="1" applyBorder="1"/>
    <x:xf numFmtId="200" fontId="0" fillId="5" borderId="8" xfId="0" applyNumberFormat="1" applyFont="1" applyFill="1" applyBorder="1"/>
    <x:xf numFmtId="203" fontId="0" fillId="5" borderId="16" xfId="0" applyNumberFormat="1" applyFont="1" applyFill="1" applyBorder="1"/>
    <x:xf numFmtId="201" fontId="0" fillId="5" borderId="16" xfId="0" applyNumberFormat="1" applyFont="1" applyFill="1" applyBorder="1"/>
    <x:xf numFmtId="202" fontId="0" fillId="5" borderId="16" xfId="0" applyNumberFormat="1" applyFont="1" applyFill="1" applyBorder="1"/>
    <x:xf numFmtId="200" fontId="0" fillId="5" borderId="16" xfId="0" applyNumberFormat="1" applyFont="1" applyFill="1" applyBorder="1"/>
    <x:xf numFmtId="203" fontId="0" fillId="5" borderId="0" xfId="0" applyNumberFormat="1" applyFont="1" applyFill="1" applyBorder="1" applyAlignment="1">
      <x:alignment wrapText="1"/>
    </x:xf>
    <x:xf numFmtId="203" fontId="0" fillId="5" borderId="8" xfId="0" applyNumberFormat="1" applyFont="1" applyFill="1" applyBorder="1" applyAlignment="1">
      <x:alignment wrapText="1"/>
    </x:xf>
    <x:xf numFmtId="203" fontId="0" fillId="5" borderId="1" xfId="0" applyNumberFormat="1" applyFont="1" applyFill="1" applyBorder="1" applyAlignment="1">
      <x:alignment wrapText="1"/>
    </x:xf>
    <x:xf numFmtId="203" fontId="0" fillId="5" borderId="16" xfId="0" applyNumberFormat="1" applyFont="1" applyFill="1" applyBorder="1" applyAlignment="1">
      <x:alignment wrapText="1"/>
    </x:xf>
    <x:xf numFmtId="203" fontId="0" fillId="0" borderId="8" xfId="0" applyNumberFormat="1" applyFont="1" applyFill="1" applyBorder="1"/>
    <x:xf numFmtId="203" fontId="0" fillId="0" borderId="16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3" fontId="0" fillId="0" borderId="16" xfId="0" applyNumberFormat="1" applyFont="1" applyFill="1" applyBorder="1" applyAlignment="1">
      <x:alignment wrapText="1"/>
    </x:xf>
    <x:xf numFmtId="201" fontId="0" fillId="0" borderId="8" xfId="0" applyNumberFormat="1" applyFont="1" applyFill="1" applyBorder="1"/>
    <x:xf numFmtId="201" fontId="0" fillId="0" borderId="16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1" fontId="0" fillId="0" borderId="16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361d5d1fc141f0" /><Relationship Type="http://schemas.openxmlformats.org/officeDocument/2006/relationships/theme" Target="/xl/theme/theme1.xml" Id="R3774b20c80554685" /><Relationship Type="http://schemas.openxmlformats.org/officeDocument/2006/relationships/sharedStrings" Target="/xl/sharedStrings.xml" Id="R71a4cfefadd340ae" /><Relationship Type="http://schemas.openxmlformats.org/officeDocument/2006/relationships/worksheet" Target="/xl/worksheets/sheet1.xml" Id="Ra969c390ef184a6e" /><Relationship Type="http://schemas.openxmlformats.org/officeDocument/2006/relationships/worksheet" Target="/xl/worksheets/sheet2.xml" Id="R2ae956e144b64b60" /><Relationship Type="http://schemas.openxmlformats.org/officeDocument/2006/relationships/worksheet" Target="/xl/worksheets/sheet3.xml" Id="R9168e98c7ac746d2" /><Relationship Type="http://schemas.openxmlformats.org/officeDocument/2006/relationships/worksheet" Target="/xl/worksheets/sheet4.xml" Id="R26bf50db153644a4" /><Relationship Type="http://schemas.openxmlformats.org/officeDocument/2006/relationships/worksheet" Target="/xl/worksheets/sheet5.xml" Id="Rba1d96d51e124d50" /><Relationship Type="http://schemas.openxmlformats.org/officeDocument/2006/relationships/worksheet" Target="/xl/worksheets/sheet6.xml" Id="R7eaaa04bcc2045fc" /><Relationship Type="http://schemas.openxmlformats.org/officeDocument/2006/relationships/worksheet" Target="/xl/worksheets/sheet7.xml" Id="R0e3c1a27ce3a434e" /><Relationship Type="http://schemas.openxmlformats.org/officeDocument/2006/relationships/worksheet" Target="/xl/worksheets/sheet8.xml" Id="R6c94ef4bbd2f45e5" /><Relationship Type="http://schemas.openxmlformats.org/officeDocument/2006/relationships/worksheet" Target="/xl/worksheets/sheet9.xml" Id="R6d6bc99d38ab46f6" /></Relationships>
</file>

<file path=xl/tables/table1.xml><?xml version="1.0" encoding="utf-8"?>
<x:table xmlns:x="http://schemas.openxmlformats.org/spreadsheetml/2006/main" id="1" name="ProviderInputsTable" displayName="ProviderInputsTable" ref="A4:T8" headerRowCount="1">
  <x:tableColumns count="20">
    <x:tableColumn id="1" name="Provider"/>
    <x:tableColumn id="2" name="Pricing Model"/>
    <x:tableColumn id="3" name="Annual License, RUB"/>
    <x:tableColumn id="4" name="One-time Setup, RUB"/>
    <x:tableColumn id="5" name="Per-request Cost, RUB"/>
    <x:tableColumn id="6" name="Included Annual Requests"/>
    <x:tableColumn id="7" name="Annual Method Fees, RUB"/>
    <x:tableColumn id="8" name="Implementation Hours"/>
    <x:tableColumn id="9" name="Engineering Rate, RUB/h"/>
    <x:tableColumn id="10" name="Monthly Infrastructure, RUB"/>
    <x:tableColumn id="11" name="Monthly Support, RUB"/>
    <x:tableColumn id="12" name="Annual Internal Ops Hours"/>
    <x:tableColumn id="13" name="Annual Growth %"/>
    <x:tableColumn id="14" name="Year 1 Requests"/>
    <x:tableColumn id="15" name="Year 2 Requests"/>
    <x:tableColumn id="16" name="Year 3 Requests"/>
    <x:tableColumn id="17" name="Evidence Status"/>
    <x:tableColumn id="18" name="Pricing Source URL"/>
    <x:tableColumn id="19" name="Commercial Notes"/>
    <x:tableColumn id="20" name="Last Updated"/>
  </x:tableColumns>
  <x:tableStyleInfo name="TableStyleMedium2" showRowStripes="1"/>
</x:table>
</file>

<file path=xl/tables/table2.xml><?xml version="1.0" encoding="utf-8"?>
<x:table xmlns:x="http://schemas.openxmlformats.org/spreadsheetml/2006/main" id="2" name="TcoTable" displayName="TcoTable" ref="A4:O8" headerRowCount="1">
  <x:tableColumns count="15">
    <x:tableColumn id="1" name="Provider"/>
    <x:tableColumn id="2" name="Y1 Fixed"/>
    <x:tableColumn id="3" name="Y1 Usage"/>
    <x:tableColumn id="4" name="Y1 Implementation"/>
    <x:tableColumn id="5" name="Y1 Operations"/>
    <x:tableColumn id="6" name="Year 1 Total"/>
    <x:tableColumn id="7" name="Year 2 Total"/>
    <x:tableColumn id="8" name="Year 3 Total"/>
    <x:tableColumn id="9" name="3Y Known TCO"/>
    <x:tableColumn id="10" name="Core Inputs Filled"/>
    <x:tableColumn id="11" name="Completeness"/>
    <x:tableColumn id="12" name="Evidence Status"/>
    <x:tableColumn id="13" name="TCO Confidence"/>
    <x:tableColumn id="14" name="Rank (Known Cost)"/>
    <x:tableColumn id="15" name="Decision Warning"/>
  </x:tableColumns>
  <x:tableStyleInfo name="TableStyleMedium2" showRowStripes="1"/>
</x:table>
</file>

<file path=xl/tables/table3.xml><?xml version="1.0" encoding="utf-8"?>
<x:table xmlns:x="http://schemas.openxmlformats.org/spreadsheetml/2006/main" id="3" name="TestCasesTable" displayName="TestCasesTable" ref="A4:K24" headerRowCount="1">
  <x:tableColumns count="11">
    <x:tableColumn id="1" name="Test ID"/>
    <x:tableColumn id="2" name="Scenario"/>
    <x:tableColumn id="3" name="Entity Type"/>
    <x:tableColumn id="4" name="Identifier Type"/>
    <x:tableColumn id="5" name="Identifier"/>
    <x:tableColumn id="6" name="Expected Checks"/>
    <x:tableColumn id="7" name="Priority"/>
    <x:tableColumn id="8" name="Source / Reason"/>
    <x:tableColumn id="9" name="Safe to Share?"/>
    <x:tableColumn id="10" name="Owner"/>
    <x:tableColumn id="11" name="Ready?"/>
  </x:tableColumns>
  <x:tableStyleInfo name="TableStyleMedium2" showRowStripes="1"/>
</x:table>
</file>

<file path=xl/tables/table4.xml><?xml version="1.0" encoding="utf-8"?>
<x:table xmlns:x="http://schemas.openxmlformats.org/spreadsheetml/2006/main" id="4" name="TestResultsTable" displayName="TestResultsTable" ref="A4:N84" headerRowCount="1">
  <x:tableColumns count="14">
    <x:tableColumn id="1" name="Test ID"/>
    <x:tableColumn id="2" name="Provider"/>
    <x:tableColumn id="3" name="Run Date"/>
    <x:tableColumn id="4" name="HTTP / Delivery Status"/>
    <x:tableColumn id="5" name="Latency ms"/>
    <x:tableColumn id="6" name="Result Count"/>
    <x:tableColumn id="7" name="Required Fields %"/>
    <x:tableColumn id="8" name="Match Accuracy 0-5"/>
    <x:tableColumn id="9" name="Freshness 0-5"/>
    <x:tableColumn id="10" name="Error Quality 0-5"/>
    <x:tableColumn id="11" name="Data Date / Snapshot"/>
    <x:tableColumn id="12" name="Cost Observed, RUB"/>
    <x:tableColumn id="13" name="Notes"/>
    <x:tableColumn id="14" name="Evidence URL / File"/>
  </x:tableColumns>
  <x:tableStyleInfo name="TableStyleMedium2" showRowStripes="1"/>
</x:table>
</file>

<file path=xl/tables/table5.xml><?xml version="1.0" encoding="utf-8"?>
<x:table xmlns:x="http://schemas.openxmlformats.org/spreadsheetml/2006/main" id="5" name="RfpTable" displayName="RfpTable" ref="A3:N33" headerRowCount="1">
  <x:tableColumns count="14">
    <x:tableColumn id="1" name="ID"/>
    <x:tableColumn id="2" name="Category"/>
    <x:tableColumn id="3" name="Question (RU)"/>
    <x:tableColumn id="4" name="Question (EN)"/>
    <x:tableColumn id="5" name="Priority"/>
    <x:tableColumn id="6" name="Mandatory?"/>
    <x:tableColumn id="7" name="DaData Response Status"/>
    <x:tableColumn id="8" name="Kontur Response Status"/>
    <x:tableColumn id="9" name="Seldon Response Status"/>
    <x:tableColumn id="10" name="FTS Status"/>
    <x:tableColumn id="11" name="Owner"/>
    <x:tableColumn id="12" name="Due Date"/>
    <x:tableColumn id="13" name="Evidence / Answer Link"/>
    <x:tableColumn id="14" name="Decision Impact"/>
  </x:tableColumns>
  <x:tableStyleInfo name="TableStyleMedium2" showRowStripes="1"/>
</x:table>
</file>

<file path=xl/tables/table6.xml><?xml version="1.0" encoding="utf-8"?>
<x:table xmlns:x="http://schemas.openxmlformats.org/spreadsheetml/2006/main" id="6" name="SourcesTable" displayName="SourcesTable" ref="A3:F12" headerRowCount="1">
  <x:tableColumns count="6">
    <x:tableColumn id="1" name="Provider"/>
    <x:tableColumn id="2" name="Topic"/>
    <x:tableColumn id="3" name="Fact Used"/>
    <x:tableColumn id="4" name="Official URL"/>
    <x:tableColumn id="5" name="Checked"/>
    <x:tableColumn id="6" name="Evidence 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4a22883356b48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2cf8013704540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c6ca266cb1a742a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86bcc60e4bf545e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08f1b92566644e7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1bb07f96ab4042a9" /></Relationships>
</file>

<file path=xl/worksheets/sheet1.xml><?xml version="1.0" encoding="utf-8"?>
<x:worksheet xmlns:x="http://schemas.openxmlformats.org/spreadsheetml/2006/main">
  <x:sheetFormatPr defaultRowHeight="15"/>
  <x:cols>
    <x:col min="1" max="1" width="13.880000114440918" hidden="0" customWidth="1"/>
    <x:col min="2" max="2" width="15.5" hidden="0" customWidth="1"/>
    <x:col min="3" max="3" width="7" hidden="0" customWidth="1"/>
    <x:col min="4" max="4" width="4.75" hidden="0" customWidth="1"/>
    <x:col min="5" max="5" width="11.380000114440918" hidden="0" customWidth="1"/>
    <x:col min="6" max="6" width="13.630000114440918" hidden="0" customWidth="1"/>
  </x:cols>
  <x:sheetData>
    <x:row r="1">
      <x:c r="A1" s="7" t="str">
        <x:v>Evidence Status</x:v>
      </x:c>
      <x:c r="B1" s="7" t="str">
        <x:v>Response Status</x:v>
      </x:c>
      <x:c r="C1" s="7" t="str">
        <x:v>Priority</x:v>
      </x:c>
      <x:c r="D1" s="7" t="str">
        <x:v>Score</x:v>
      </x:c>
      <x:c r="E1" s="7" t="str">
        <x:v>Yes/No</x:v>
      </x:c>
      <x:c r="F1" s="7" t="str">
        <x:v>Provider</x:v>
      </x:c>
    </x:row>
    <x:row r="2">
      <x:c r="A2" s="2" t="str">
        <x:v>verified</x:v>
      </x:c>
      <x:c r="B2" s="2" t="str">
        <x:v>Not requested</x:v>
      </x:c>
      <x:c r="C2" s="2" t="str">
        <x:v>Critical</x:v>
      </x:c>
      <x:c r="D2" s="2" t="n">
        <x:v>0</x:v>
      </x:c>
      <x:c r="E2" s="2" t="str">
        <x:v>Yes</x:v>
      </x:c>
      <x:c r="F2" s="2" t="str">
        <x:v>DaData</x:v>
      </x:c>
    </x:row>
    <x:row r="3">
      <x:c r="A3" s="2" t="str">
        <x:v>provider-reported</x:v>
      </x:c>
      <x:c r="B3" s="2" t="str">
        <x:v>Requested</x:v>
      </x:c>
      <x:c r="C3" s="2" t="str">
        <x:v>High</x:v>
      </x:c>
      <x:c r="D3" s="2" t="n">
        <x:v>1</x:v>
      </x:c>
      <x:c r="E3" s="2" t="str">
        <x:v>No</x:v>
      </x:c>
      <x:c r="F3" s="2" t="str">
        <x:v>Kontur.Focus API</x:v>
      </x:c>
    </x:row>
    <x:row r="4">
      <x:c r="A4" s="2" t="str">
        <x:v>observed</x:v>
      </x:c>
      <x:c r="B4" s="2" t="str">
        <x:v>Received</x:v>
      </x:c>
      <x:c r="C4" s="2" t="str">
        <x:v>Medium</x:v>
      </x:c>
      <x:c r="D4" s="2" t="n">
        <x:v>2</x:v>
      </x:c>
      <x:c r="E4" s="2" t="str">
        <x:v>Unknown</x:v>
      </x:c>
      <x:c r="F4" s="2" t="str">
        <x:v>Seldon.Basis API</x:v>
      </x:c>
    </x:row>
    <x:row r="5">
      <x:c r="A5" s="2" t="str">
        <x:v>unknown</x:v>
      </x:c>
      <x:c r="B5" s="2" t="str">
        <x:v>Clarification needed</x:v>
      </x:c>
      <x:c r="C5" s="2" t="str">
        <x:v>Low</x:v>
      </x:c>
      <x:c r="D5" s="2" t="n">
        <x:v>3</x:v>
      </x:c>
      <x:c r="E5" s="2" t="str">
        <x:v>Not applicable</x:v>
      </x:c>
      <x:c r="F5" s="2" t="str">
        <x:v>FTS EGRUL/EGRIP</x:v>
      </x:c>
    </x:row>
    <x:row r="6">
      <x:c r="A6" s="2" t="str">
        <x:v>needs-recheck</x:v>
      </x:c>
      <x:c r="B6" s="2"/>
      <x:c r="C6" s="2" t="str">
        <x:v>Optional</x:v>
      </x:c>
      <x:c r="D6" s="2" t="n">
        <x:v>4</x:v>
      </x:c>
      <x:c r="E6" s="2"/>
      <x:c r="F6" s="2"/>
    </x:row>
    <x:row r="7">
      <x:c r="A7" s="2"/>
      <x:c r="B7" s="2"/>
      <x:c r="C7" s="2"/>
      <x:c r="D7" s="2" t="n">
        <x:v>5</x:v>
      </x:c>
      <x:c r="E7" s="2"/>
      <x:c r="F7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6" hidden="0" customWidth="1"/>
    <x:col min="4" max="4" width="16" hidden="0" customWidth="1"/>
    <x:col min="5" max="5" width="16" hidden="0" customWidth="1"/>
    <x:col min="6" max="6" width="18" hidden="0" customWidth="1"/>
    <x:col min="7" max="7" width="18" hidden="0" customWidth="1"/>
    <x:col min="8" max="8" width="16" hidden="0" customWidth="1"/>
    <x:col min="9" max="9" width="18" hidden="0" customWidth="1"/>
    <x:col min="10" max="10" width="18" hidden="0" customWidth="1"/>
    <x:col min="11" max="11" width="17" hidden="0" customWidth="1"/>
    <x:col min="12" max="12" width="18" hidden="0" customWidth="1"/>
    <x:col min="13" max="13" width="13" hidden="0" customWidth="1"/>
    <x:col min="14" max="14" width="15" hidden="0" customWidth="1"/>
    <x:col min="15" max="15" width="15" hidden="0" customWidth="1"/>
    <x:col min="16" max="16" width="15" hidden="0" customWidth="1"/>
    <x:col min="17" max="17" width="18" hidden="0" customWidth="1"/>
    <x:col min="18" max="18" width="34" hidden="0" customWidth="1"/>
    <x:col min="19" max="19" width="42" hidden="0" customWidth="1"/>
    <x:col min="20" max="20" width="14" hidden="0" customWidth="1"/>
  </x:cols>
  <x:sheetData>
    <x:row r="1" ht="30" customHeight="1">
      <x:c r="A1" s="15" t="str">
        <x:v>Provider Commercial &amp; Operating Inputs / Коммерческие и операционные параметры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</x:row>
    <x:row r="2" ht="30" customHeight="1">
      <x:c r="A2" s="22" t="str">
        <x:v>Yellow cells are editable. Blank costs are treated as zero in the calculator, so use the completeness and confidence indicators before relying on TCO.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</x:row>
    <x:row r="4">
      <x:c r="A4" s="34" t="str">
        <x:v>Provider</x:v>
      </x:c>
      <x:c r="B4" s="35" t="str">
        <x:v>Pricing Model</x:v>
      </x:c>
      <x:c r="C4" s="35" t="str">
        <x:v>Annual License, RUB</x:v>
      </x:c>
      <x:c r="D4" s="35" t="str">
        <x:v>One-time Setup, RUB</x:v>
      </x:c>
      <x:c r="E4" s="35" t="str">
        <x:v>Per-request Cost, RUB</x:v>
      </x:c>
      <x:c r="F4" s="35" t="str">
        <x:v>Included Annual Requests</x:v>
      </x:c>
      <x:c r="G4" s="35" t="str">
        <x:v>Annual Method Fees, RUB</x:v>
      </x:c>
      <x:c r="H4" s="35" t="str">
        <x:v>Implementation Hours</x:v>
      </x:c>
      <x:c r="I4" s="35" t="str">
        <x:v>Engineering Rate, RUB/h</x:v>
      </x:c>
      <x:c r="J4" s="35" t="str">
        <x:v>Monthly Infrastructure, RUB</x:v>
      </x:c>
      <x:c r="K4" s="35" t="str">
        <x:v>Monthly Support, RUB</x:v>
      </x:c>
      <x:c r="L4" s="35" t="str">
        <x:v>Annual Internal Ops Hours</x:v>
      </x:c>
      <x:c r="M4" s="35" t="str">
        <x:v>Annual Growth %</x:v>
      </x:c>
      <x:c r="N4" s="35" t="str">
        <x:v>Year 1 Requests</x:v>
      </x:c>
      <x:c r="O4" s="35" t="str">
        <x:v>Year 2 Requests</x:v>
      </x:c>
      <x:c r="P4" s="35" t="str">
        <x:v>Year 3 Requests</x:v>
      </x:c>
      <x:c r="Q4" s="35" t="str">
        <x:v>Evidence Status</x:v>
      </x:c>
      <x:c r="R4" s="35" t="str">
        <x:v>Pricing Source URL</x:v>
      </x:c>
      <x:c r="S4" s="35" t="str">
        <x:v>Commercial Notes</x:v>
      </x:c>
      <x:c r="T4" s="36" t="str">
        <x:v>Last Updated</x:v>
      </x:c>
    </x:row>
    <x:row r="5">
      <x:c r="A5" s="55" t="str">
        <x:v>DaData</x:v>
      </x:c>
      <x:c r="B5" s="2" t="str">
        <x:v>Annual subscription</x:v>
      </x:c>
      <x:c r="C5" s="73" t="n">
        <x:v>28000</x:v>
      </x:c>
      <x:c r="D5" s="73" t="n">
        <x:v>0</x:v>
      </x:c>
      <x:c r="E5" s="73" t="n">
        <x:v>0</x:v>
      </x:c>
      <x:c r="F5" s="73" t="n">
        <x:v>36500000</x:v>
      </x:c>
      <x:c r="G5" s="73" t="n">
        <x:v>0</x:v>
      </x:c>
      <x:c r="H5" s="77" t="n">
        <x:v>40</x:v>
      </x:c>
      <x:c r="I5" s="77" t="n">
        <x:v>3000</x:v>
      </x:c>
      <x:c r="J5" s="77" t="n">
        <x:v>0</x:v>
      </x:c>
      <x:c r="K5" s="77" t="n">
        <x:v>0</x:v>
      </x:c>
      <x:c r="L5" s="77" t="n">
        <x:v>24</x:v>
      </x:c>
      <x:c r="M5" s="81" t="n">
        <x:v>0.25</x:v>
      </x:c>
      <x:c r="N5" s="77" t="n">
        <x:v>1000000</x:v>
      </x:c>
      <x:c r="O5" s="85" t="n">
        <x:f>N5*(1+M5)</x:f>
        <x:v>1250000</x:v>
      </x:c>
      <x:c r="P5" s="85" t="n">
        <x:f>O5*(1+M5)</x:f>
        <x:v>1562500</x:v>
      </x:c>
      <x:c r="Q5" s="56" t="str">
        <x:v>verified</x:v>
      </x:c>
      <x:c r="R5" s="56" t="str">
        <x:v>https://dadata.ru/pricing/</x:v>
      </x:c>
      <x:c r="S5" s="56" t="str">
        <x:v>Illustrative mid-tier subscription. Replace with selected plan and endpoint-specific costs.</x:v>
      </x:c>
      <x:c r="T5" s="89" t="n">
        <x:v>46227</x:v>
      </x:c>
    </x:row>
    <x:row r="6">
      <x:c r="A6" s="55" t="str">
        <x:v>Kontur.Focus API</x:v>
      </x:c>
      <x:c r="B6" s="2" t="str">
        <x:v>Contract quote</x:v>
      </x:c>
      <x:c r="C6" s="73"/>
      <x:c r="D6" s="73"/>
      <x:c r="E6" s="73"/>
      <x:c r="F6" s="73"/>
      <x:c r="G6" s="73"/>
      <x:c r="H6" s="77" t="n">
        <x:v>160</x:v>
      </x:c>
      <x:c r="I6" s="77" t="n">
        <x:v>3000</x:v>
      </x:c>
      <x:c r="J6" s="77" t="n">
        <x:v>0</x:v>
      </x:c>
      <x:c r="K6" s="77" t="n">
        <x:v>0</x:v>
      </x:c>
      <x:c r="L6" s="77" t="n">
        <x:v>60</x:v>
      </x:c>
      <x:c r="M6" s="81" t="n">
        <x:v>0.25</x:v>
      </x:c>
      <x:c r="N6" s="77" t="n">
        <x:v>1000000</x:v>
      </x:c>
      <x:c r="O6" s="85" t="n">
        <x:f>N6*(1+M6)</x:f>
        <x:v>1250000</x:v>
      </x:c>
      <x:c r="P6" s="85" t="n">
        <x:f>O6*(1+M6)</x:f>
        <x:v>1562500</x:v>
      </x:c>
      <x:c r="Q6" s="56" t="str">
        <x:v>unknown</x:v>
      </x:c>
      <x:c r="R6" s="56" t="str">
        <x:v>https://focus.kontur.ru/site/api</x:v>
      </x:c>
      <x:c r="S6" s="56" t="str">
        <x:v>Request API price list, method composition, limits, SLA and storage rights.</x:v>
      </x:c>
      <x:c r="T6" s="89" t="n">
        <x:v>46227</x:v>
      </x:c>
    </x:row>
    <x:row r="7">
      <x:c r="A7" s="55" t="str">
        <x:v>Seldon.Basis API</x:v>
      </x:c>
      <x:c r="B7" s="2" t="str">
        <x:v>Per-method contract</x:v>
      </x:c>
      <x:c r="C7" s="73"/>
      <x:c r="D7" s="73"/>
      <x:c r="E7" s="73"/>
      <x:c r="F7" s="73"/>
      <x:c r="G7" s="73"/>
      <x:c r="H7" s="77" t="n">
        <x:v>160</x:v>
      </x:c>
      <x:c r="I7" s="77" t="n">
        <x:v>3000</x:v>
      </x:c>
      <x:c r="J7" s="77" t="n">
        <x:v>0</x:v>
      </x:c>
      <x:c r="K7" s="77" t="n">
        <x:v>0</x:v>
      </x:c>
      <x:c r="L7" s="77" t="n">
        <x:v>60</x:v>
      </x:c>
      <x:c r="M7" s="81" t="n">
        <x:v>0.25</x:v>
      </x:c>
      <x:c r="N7" s="77" t="n">
        <x:v>1000000</x:v>
      </x:c>
      <x:c r="O7" s="85" t="n">
        <x:f>N7*(1+M7)</x:f>
        <x:v>1250000</x:v>
      </x:c>
      <x:c r="P7" s="85" t="n">
        <x:f>O7*(1+M7)</x:f>
        <x:v>1562500</x:v>
      </x:c>
      <x:c r="Q7" s="56" t="str">
        <x:v>unknown</x:v>
      </x:c>
      <x:c r="R7" s="56" t="str">
        <x:v>https://seldongroup.ru/system/basis/api</x:v>
      </x:c>
      <x:c r="S7" s="56" t="str">
        <x:v>Each selected method may be billed separately. Confirm batch billing.</x:v>
      </x:c>
      <x:c r="T7" s="89" t="n">
        <x:v>46227</x:v>
      </x:c>
    </x:row>
    <x:row r="8">
      <x:c r="A8" s="59" t="str">
        <x:v>FTS EGRUL/EGRIP</x:v>
      </x:c>
      <x:c r="B8" s="60" t="str">
        <x:v>Annual registry feed</x:v>
      </x:c>
      <x:c r="C8" s="74" t="n">
        <x:v>300000</x:v>
      </x:c>
      <x:c r="D8" s="74" t="n">
        <x:v>0</x:v>
      </x:c>
      <x:c r="E8" s="74" t="n">
        <x:v>0</x:v>
      </x:c>
      <x:c r="F8" s="74" t="n">
        <x:v>0</x:v>
      </x:c>
      <x:c r="G8" s="74" t="n">
        <x:v>0</x:v>
      </x:c>
      <x:c r="H8" s="78" t="n">
        <x:v>480</x:v>
      </x:c>
      <x:c r="I8" s="78" t="n">
        <x:v>3000</x:v>
      </x:c>
      <x:c r="J8" s="78" t="n">
        <x:v>35000</x:v>
      </x:c>
      <x:c r="K8" s="78" t="n">
        <x:v>30000</x:v>
      </x:c>
      <x:c r="L8" s="78" t="n">
        <x:v>240</x:v>
      </x:c>
      <x:c r="M8" s="82" t="n">
        <x:v>0.25</x:v>
      </x:c>
      <x:c r="N8" s="78" t="n">
        <x:v>1000000</x:v>
      </x:c>
      <x:c r="O8" s="86" t="n">
        <x:f>N8*(1+M8)</x:f>
        <x:v>1250000</x:v>
      </x:c>
      <x:c r="P8" s="86" t="n">
        <x:f>O8*(1+M8)</x:f>
        <x:v>1562500</x:v>
      </x:c>
      <x:c r="Q8" s="61" t="str">
        <x:v>verified</x:v>
      </x:c>
      <x:c r="R8" s="61" t="str">
        <x:v>https://www.nalog.gov.ru/rn77/service/egrip2/access_order/</x:v>
      </x:c>
      <x:c r="S8" s="61" t="str">
        <x:v>Both registries; excludes VAT and internal infrastructure assumptions are editable.</x:v>
      </x:c>
      <x:c r="T8" s="90" t="n">
        <x:v>46227</x:v>
      </x:c>
    </x:row>
  </x:sheetData>
  <x:mergeCells>
    <x:mergeCell ref="A1:T1"/>
    <x:mergeCell ref="A2:T2"/>
  </x:mergeCells>
  <x:dataValidations count="1">
    <x:dataValidation type="list" sqref="Q5:Q8">
      <x:formula1>Lists!$A$2:$A$6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4a22883356b48e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7" hidden="0" customWidth="1"/>
    <x:col min="5" max="5" width="16" hidden="0" customWidth="1"/>
    <x:col min="6" max="6" width="15" hidden="0" customWidth="1"/>
    <x:col min="7" max="7" width="15" hidden="0" customWidth="1"/>
    <x:col min="8" max="8" width="15" hidden="0" customWidth="1"/>
    <x:col min="9" max="9" width="17" hidden="0" customWidth="1"/>
    <x:col min="10" max="10" width="15" hidden="0" customWidth="1"/>
    <x:col min="11" max="11" width="14" hidden="0" customWidth="1"/>
    <x:col min="12" max="12" width="17" hidden="0" customWidth="1"/>
    <x:col min="13" max="13" width="15" hidden="0" customWidth="1"/>
    <x:col min="14" max="14" width="16" hidden="0" customWidth="1"/>
    <x:col min="15" max="15" width="25" hidden="0" customWidth="1"/>
  </x:cols>
  <x:sheetData>
    <x:row r="1">
      <x:c r="A1" s="15" t="str">
        <x:v>Three-Year Known-Cost TCO / Трёхлетний TCO подтверждённых затрат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</x:row>
    <x:row r="2">
      <x:c r="A2" s="22" t="str">
        <x:v>Known-cost model only. Blanks are treated as zero. Do not use a low TCO as a decision signal when completeness is low.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</x:row>
    <x:row r="4">
      <x:c r="A4" s="34" t="str">
        <x:v>Provider</x:v>
      </x:c>
      <x:c r="B4" s="35" t="str">
        <x:v>Y1 Fixed</x:v>
      </x:c>
      <x:c r="C4" s="35" t="str">
        <x:v>Y1 Usage</x:v>
      </x:c>
      <x:c r="D4" s="35" t="str">
        <x:v>Y1 Implementation</x:v>
      </x:c>
      <x:c r="E4" s="35" t="str">
        <x:v>Y1 Operations</x:v>
      </x:c>
      <x:c r="F4" s="35" t="str">
        <x:v>Year 1 Total</x:v>
      </x:c>
      <x:c r="G4" s="35" t="str">
        <x:v>Year 2 Total</x:v>
      </x:c>
      <x:c r="H4" s="35" t="str">
        <x:v>Year 3 Total</x:v>
      </x:c>
      <x:c r="I4" s="35" t="str">
        <x:v>3Y Known TCO</x:v>
      </x:c>
      <x:c r="J4" s="35" t="str">
        <x:v>Core Inputs Filled</x:v>
      </x:c>
      <x:c r="K4" s="35" t="str">
        <x:v>Completeness</x:v>
      </x:c>
      <x:c r="L4" s="35" t="str">
        <x:v>Evidence Status</x:v>
      </x:c>
      <x:c r="M4" s="35" t="str">
        <x:v>TCO Confidence</x:v>
      </x:c>
      <x:c r="N4" s="35" t="str">
        <x:v>Rank (Known Cost)</x:v>
      </x:c>
      <x:c r="O4" s="36" t="str">
        <x:v>Decision Warning</x:v>
      </x:c>
    </x:row>
    <x:row r="5">
      <x:c r="A5" s="55" t="str">
        <x:v>DaData</x:v>
      </x:c>
      <x:c r="B5" s="105" t="n">
        <x:f>'Provider Inputs'!C5+'Provider Inputs'!D5+'Provider Inputs'!G5</x:f>
        <x:v>28000</x:v>
      </x:c>
      <x:c r="C5" s="105" t="n">
        <x:f>MAX(0,'Provider Inputs'!N5-'Provider Inputs'!F5)*'Provider Inputs'!E5</x:f>
        <x:v>0</x:v>
      </x:c>
      <x:c r="D5" s="105" t="n">
        <x:f>'Provider Inputs'!H5*'Provider Inputs'!I5</x:f>
        <x:v>120000</x:v>
      </x:c>
      <x:c r="E5" s="105" t="n">
        <x:f>12*('Provider Inputs'!J5+'Provider Inputs'!K5)+'Provider Inputs'!L5*'Provider Inputs'!I5</x:f>
        <x:v>72000</x:v>
      </x:c>
      <x:c r="F5" s="105" t="n">
        <x:f>SUM(B5:E5)</x:f>
        <x:v>220000</x:v>
      </x:c>
      <x:c r="G5" s="105" t="n">
        <x:f>'Provider Inputs'!C5+'Provider Inputs'!G5+MAX(0,'Provider Inputs'!O5-'Provider Inputs'!F5)*'Provider Inputs'!E5+12*('Provider Inputs'!J5+'Provider Inputs'!K5)+'Provider Inputs'!L5*'Provider Inputs'!I5</x:f>
        <x:v>100000</x:v>
      </x:c>
      <x:c r="H5" s="105" t="n">
        <x:f>'Provider Inputs'!C5+'Provider Inputs'!G5+MAX(0,'Provider Inputs'!P5-'Provider Inputs'!F5)*'Provider Inputs'!E5+12*('Provider Inputs'!J5+'Provider Inputs'!K5)+'Provider Inputs'!L5*'Provider Inputs'!I5</x:f>
        <x:v>100000</x:v>
      </x:c>
      <x:c r="I5" s="105" t="n">
        <x:f>SUM(F5:H5)</x:f>
        <x:v>420000</x:v>
      </x:c>
      <x:c r="J5" s="2" t="n">
        <x:f>COUNT('Provider Inputs'!C5:'Provider Inputs'!N5)</x:f>
        <x:v>12</x:v>
      </x:c>
      <x:c r="K5" s="106" t="n">
        <x:f>J5/12</x:f>
        <x:v>1</x:v>
      </x:c>
      <x:c r="L5" s="2" t="str">
        <x:f>'Provider Inputs'!Q5</x:f>
        <x:v>verified</x:v>
      </x:c>
      <x:c r="M5" s="2" t="str">
        <x:f>IF(K5&lt;0.75,"LOW",IF(OR(L5="unknown",L5="needs-recheck"),"MEDIUM","HIGH"))</x:f>
        <x:v>HIGH</x:v>
      </x:c>
      <x:c r="N5" s="2" t="n">
        <x:f>RANK(I5,$I$5:$I$8,1)</x:f>
        <x:v>1</x:v>
      </x:c>
      <x:c r="O5" s="107" t="str">
        <x:f>IF(K5&lt;0.75,"INCOMPLETE COST DATA",IF(M5="LOW","VERIFY BEFORE USE",""))</x:f>
      </x:c>
    </x:row>
    <x:row r="6">
      <x:c r="A6" s="55" t="str">
        <x:v>Kontur.Focus API</x:v>
      </x:c>
      <x:c r="B6" s="105" t="n">
        <x:f>'Provider Inputs'!C6+'Provider Inputs'!D6+'Provider Inputs'!G6</x:f>
        <x:v>0</x:v>
      </x:c>
      <x:c r="C6" s="105" t="n">
        <x:f>MAX(0,'Provider Inputs'!N6-'Provider Inputs'!F6)*'Provider Inputs'!E6</x:f>
        <x:v>0</x:v>
      </x:c>
      <x:c r="D6" s="105" t="n">
        <x:f>'Provider Inputs'!H6*'Provider Inputs'!I6</x:f>
        <x:v>480000</x:v>
      </x:c>
      <x:c r="E6" s="105" t="n">
        <x:f>12*('Provider Inputs'!J6+'Provider Inputs'!K6)+'Provider Inputs'!L6*'Provider Inputs'!I6</x:f>
        <x:v>180000</x:v>
      </x:c>
      <x:c r="F6" s="105" t="n">
        <x:f>SUM(B6:E6)</x:f>
        <x:v>660000</x:v>
      </x:c>
      <x:c r="G6" s="105" t="n">
        <x:f>'Provider Inputs'!C6+'Provider Inputs'!G6+MAX(0,'Provider Inputs'!O6-'Provider Inputs'!F6)*'Provider Inputs'!E6+12*('Provider Inputs'!J6+'Provider Inputs'!K6)+'Provider Inputs'!L6*'Provider Inputs'!I6</x:f>
        <x:v>180000</x:v>
      </x:c>
      <x:c r="H6" s="105" t="n">
        <x:f>'Provider Inputs'!C6+'Provider Inputs'!G6+MAX(0,'Provider Inputs'!P6-'Provider Inputs'!F6)*'Provider Inputs'!E6+12*('Provider Inputs'!J6+'Provider Inputs'!K6)+'Provider Inputs'!L6*'Provider Inputs'!I6</x:f>
        <x:v>180000</x:v>
      </x:c>
      <x:c r="I6" s="105" t="n">
        <x:f>SUM(F6:H6)</x:f>
        <x:v>1020000</x:v>
      </x:c>
      <x:c r="J6" s="2" t="n">
        <x:f>COUNT('Provider Inputs'!C6:'Provider Inputs'!N6)</x:f>
        <x:v>7</x:v>
      </x:c>
      <x:c r="K6" s="106" t="n">
        <x:f>J6/12</x:f>
        <x:v>0.5833333333333334</x:v>
      </x:c>
      <x:c r="L6" s="2" t="str">
        <x:f>'Provider Inputs'!Q6</x:f>
        <x:v>unknown</x:v>
      </x:c>
      <x:c r="M6" s="2" t="str">
        <x:f>IF(K6&lt;0.75,"LOW",IF(OR(L6="unknown",L6="needs-recheck"),"MEDIUM","HIGH"))</x:f>
        <x:v>LOW</x:v>
      </x:c>
      <x:c r="N6" s="2" t="n">
        <x:f>RANK(I6,$I$5:$I$8,1)</x:f>
        <x:v>2</x:v>
      </x:c>
      <x:c r="O6" s="107" t="str">
        <x:f>IF(K6&lt;0.75,"INCOMPLETE COST DATA",IF(M6="LOW","VERIFY BEFORE USE",""))</x:f>
        <x:v>INCOMPLETE COST DATA</x:v>
      </x:c>
    </x:row>
    <x:row r="7">
      <x:c r="A7" s="55" t="str">
        <x:v>Seldon.Basis API</x:v>
      </x:c>
      <x:c r="B7" s="105" t="n">
        <x:f>'Provider Inputs'!C7+'Provider Inputs'!D7+'Provider Inputs'!G7</x:f>
        <x:v>0</x:v>
      </x:c>
      <x:c r="C7" s="105" t="n">
        <x:f>MAX(0,'Provider Inputs'!N7-'Provider Inputs'!F7)*'Provider Inputs'!E7</x:f>
        <x:v>0</x:v>
      </x:c>
      <x:c r="D7" s="105" t="n">
        <x:f>'Provider Inputs'!H7*'Provider Inputs'!I7</x:f>
        <x:v>480000</x:v>
      </x:c>
      <x:c r="E7" s="105" t="n">
        <x:f>12*('Provider Inputs'!J7+'Provider Inputs'!K7)+'Provider Inputs'!L7*'Provider Inputs'!I7</x:f>
        <x:v>180000</x:v>
      </x:c>
      <x:c r="F7" s="105" t="n">
        <x:f>SUM(B7:E7)</x:f>
        <x:v>660000</x:v>
      </x:c>
      <x:c r="G7" s="105" t="n">
        <x:f>'Provider Inputs'!C7+'Provider Inputs'!G7+MAX(0,'Provider Inputs'!O7-'Provider Inputs'!F7)*'Provider Inputs'!E7+12*('Provider Inputs'!J7+'Provider Inputs'!K7)+'Provider Inputs'!L7*'Provider Inputs'!I7</x:f>
        <x:v>180000</x:v>
      </x:c>
      <x:c r="H7" s="105" t="n">
        <x:f>'Provider Inputs'!C7+'Provider Inputs'!G7+MAX(0,'Provider Inputs'!P7-'Provider Inputs'!F7)*'Provider Inputs'!E7+12*('Provider Inputs'!J7+'Provider Inputs'!K7)+'Provider Inputs'!L7*'Provider Inputs'!I7</x:f>
        <x:v>180000</x:v>
      </x:c>
      <x:c r="I7" s="105" t="n">
        <x:f>SUM(F7:H7)</x:f>
        <x:v>1020000</x:v>
      </x:c>
      <x:c r="J7" s="2" t="n">
        <x:f>COUNT('Provider Inputs'!C7:'Provider Inputs'!N7)</x:f>
        <x:v>7</x:v>
      </x:c>
      <x:c r="K7" s="106" t="n">
        <x:f>J7/12</x:f>
        <x:v>0.5833333333333334</x:v>
      </x:c>
      <x:c r="L7" s="2" t="str">
        <x:f>'Provider Inputs'!Q7</x:f>
        <x:v>unknown</x:v>
      </x:c>
      <x:c r="M7" s="2" t="str">
        <x:f>IF(K7&lt;0.75,"LOW",IF(OR(L7="unknown",L7="needs-recheck"),"MEDIUM","HIGH"))</x:f>
        <x:v>LOW</x:v>
      </x:c>
      <x:c r="N7" s="2" t="n">
        <x:f>RANK(I7,$I$5:$I$8,1)</x:f>
        <x:v>2</x:v>
      </x:c>
      <x:c r="O7" s="107" t="str">
        <x:f>IF(K7&lt;0.75,"INCOMPLETE COST DATA",IF(M7="LOW","VERIFY BEFORE USE",""))</x:f>
        <x:v>INCOMPLETE COST DATA</x:v>
      </x:c>
    </x:row>
    <x:row r="8">
      <x:c r="A8" s="59" t="str">
        <x:v>FTS EGRUL/EGRIP</x:v>
      </x:c>
      <x:c r="B8" s="108" t="n">
        <x:f>'Provider Inputs'!C8+'Provider Inputs'!D8+'Provider Inputs'!G8</x:f>
        <x:v>300000</x:v>
      </x:c>
      <x:c r="C8" s="108" t="n">
        <x:f>MAX(0,'Provider Inputs'!N8-'Provider Inputs'!F8)*'Provider Inputs'!E8</x:f>
        <x:v>0</x:v>
      </x:c>
      <x:c r="D8" s="108" t="n">
        <x:f>'Provider Inputs'!H8*'Provider Inputs'!I8</x:f>
        <x:v>1440000</x:v>
      </x:c>
      <x:c r="E8" s="108" t="n">
        <x:f>12*('Provider Inputs'!J8+'Provider Inputs'!K8)+'Provider Inputs'!L8*'Provider Inputs'!I8</x:f>
        <x:v>1500000</x:v>
      </x:c>
      <x:c r="F8" s="108" t="n">
        <x:f>SUM(B8:E8)</x:f>
        <x:v>3240000</x:v>
      </x:c>
      <x:c r="G8" s="108" t="n">
        <x:f>'Provider Inputs'!C8+'Provider Inputs'!G8+MAX(0,'Provider Inputs'!O8-'Provider Inputs'!F8)*'Provider Inputs'!E8+12*('Provider Inputs'!J8+'Provider Inputs'!K8)+'Provider Inputs'!L8*'Provider Inputs'!I8</x:f>
        <x:v>1800000</x:v>
      </x:c>
      <x:c r="H8" s="108" t="n">
        <x:f>'Provider Inputs'!C8+'Provider Inputs'!G8+MAX(0,'Provider Inputs'!P8-'Provider Inputs'!F8)*'Provider Inputs'!E8+12*('Provider Inputs'!J8+'Provider Inputs'!K8)+'Provider Inputs'!L8*'Provider Inputs'!I8</x:f>
        <x:v>1800000</x:v>
      </x:c>
      <x:c r="I8" s="108" t="n">
        <x:f>SUM(F8:H8)</x:f>
        <x:v>6840000</x:v>
      </x:c>
      <x:c r="J8" s="60" t="n">
        <x:f>COUNT('Provider Inputs'!C8:'Provider Inputs'!N8)</x:f>
        <x:v>12</x:v>
      </x:c>
      <x:c r="K8" s="109" t="n">
        <x:f>J8/12</x:f>
        <x:v>1</x:v>
      </x:c>
      <x:c r="L8" s="60" t="str">
        <x:f>'Provider Inputs'!Q8</x:f>
        <x:v>verified</x:v>
      </x:c>
      <x:c r="M8" s="60" t="str">
        <x:f>IF(K8&lt;0.75,"LOW",IF(OR(L8="unknown",L8="needs-recheck"),"MEDIUM","HIGH"))</x:f>
        <x:v>HIGH</x:v>
      </x:c>
      <x:c r="N8" s="60" t="n">
        <x:f>RANK(I8,$I$5:$I$8,1)</x:f>
        <x:v>4</x:v>
      </x:c>
      <x:c r="O8" s="110" t="str">
        <x:f>IF(K8&lt;0.75,"INCOMPLETE COST DATA",IF(M8="LOW","VERIFY BEFORE USE",""))</x:f>
      </x:c>
    </x:row>
  </x:sheetData>
  <x:mergeCells>
    <x:mergeCell ref="A1:O1"/>
    <x:mergeCell ref="A2:O2"/>
  </x:mergeCells>
  <x:conditionalFormatting sqref="K5:K8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I5:I8">
    <x:cfRule type="dataBar" priority="2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{175BBDCA-75ED-98CD-1115-D0E6A4B25DDE}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52cf8013704540e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175BBDCA-75ED-98CD-1115-D0E6A4B25DDE}">
            <x14:dataBar gradient="1">
              <x14:cfvo type="min"/>
              <x14:cfvo type="max"/>
              <x14:fillColor rgb="FF156082"/>
            </x14:dataBar>
          </x14:cfRule>
          <xm:sqref>I5:I8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0" hidden="0" customWidth="1"/>
    <x:col min="4" max="4" width="11" hidden="0" customWidth="1"/>
    <x:col min="5" max="5" width="35" hidden="0" customWidth="1"/>
    <x:col min="6" max="6" width="12" hidden="0" customWidth="1"/>
    <x:col min="7" max="7" width="18" hidden="0" customWidth="1"/>
    <x:col min="8" max="8" width="35" hidden="0" customWidth="1"/>
    <x:col min="9" max="9" width="12" hidden="0" customWidth="1"/>
    <x:col min="10" max="10" width="18" hidden="0" customWidth="1"/>
    <x:col min="11" max="11" width="35" hidden="0" customWidth="1"/>
    <x:col min="12" max="12" width="12" hidden="0" customWidth="1"/>
    <x:col min="13" max="13" width="18" hidden="0" customWidth="1"/>
    <x:col min="14" max="14" width="35" hidden="0" customWidth="1"/>
    <x:col min="15" max="15" width="12" hidden="0" customWidth="1"/>
    <x:col min="16" max="16" width="18" hidden="0" customWidth="1"/>
  </x:cols>
  <x:sheetData>
    <x:row r="1">
      <x:c r="A1" s="15" t="str">
        <x:v>Evidence-Based Selection Scorecard / Оценочная матрица на основе доказательств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</x:row>
    <x:row r="2">
      <x:c r="A2" s="22" t="str">
        <x:v>Enter scores only after reviewing evidence. A blank score is not zero and is excluded from the weighted result. Critical unknowns remain visible.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</x:row>
    <x:row r="4">
      <x:c r="A4" s="34" t="str">
        <x:v>Category</x:v>
      </x:c>
      <x:c r="B4" s="35" t="str">
        <x:v>Criterion</x:v>
      </x:c>
      <x:c r="C4" s="35" t="str">
        <x:v>Weight</x:v>
      </x:c>
      <x:c r="D4" s="35" t="str">
        <x:v>Critical?</x:v>
      </x:c>
      <x:c r="E4" s="35" t="str">
        <x:v>Scoring Guide (0–5)</x:v>
      </x:c>
      <x:c r="F4" s="35" t="str">
        <x:v>DaData Score</x:v>
      </x:c>
      <x:c r="G4" s="35" t="str">
        <x:v>DaData Evidence</x:v>
      </x:c>
      <x:c r="H4" s="35" t="str">
        <x:v>DaData Note</x:v>
      </x:c>
      <x:c r="I4" s="35" t="str">
        <x:v>Kontur Score</x:v>
      </x:c>
      <x:c r="J4" s="35" t="str">
        <x:v>Kontur Evidence</x:v>
      </x:c>
      <x:c r="K4" s="35" t="str">
        <x:v>Kontur Note</x:v>
      </x:c>
      <x:c r="L4" s="35" t="str">
        <x:v>Seldon Score</x:v>
      </x:c>
      <x:c r="M4" s="35" t="str">
        <x:v>Seldon Evidence</x:v>
      </x:c>
      <x:c r="N4" s="35" t="str">
        <x:v>Seldon Note</x:v>
      </x:c>
      <x:c r="O4" s="35" t="str">
        <x:v>FTS Score</x:v>
      </x:c>
      <x:c r="P4" s="36" t="str">
        <x:v>FTS Evidence</x:v>
      </x:c>
    </x:row>
    <x:row r="5">
      <x:c r="A5" s="55" t="str">
        <x:v>Commercial</x:v>
      </x:c>
      <x:c r="B5" s="2" t="str">
        <x:v>Pricing transparency</x:v>
      </x:c>
      <x:c r="C5" s="106" t="n">
        <x:v>0.08</x:v>
      </x:c>
      <x:c r="D5" s="2" t="str">
        <x:v>Yes</x:v>
      </x:c>
      <x:c r="E5" s="2" t="str">
        <x:v>0=no quote/no terms; 5=public complete pricing</x:v>
      </x:c>
      <x:c r="F5" s="56"/>
      <x:c r="G5" s="2" t="str">
        <x:v>verified</x:v>
      </x:c>
      <x:c r="H5" s="2" t="str">
        <x:v>Public pricing available</x:v>
      </x:c>
      <x:c r="I5" s="56"/>
      <x:c r="J5" s="2" t="str">
        <x:v>unknown</x:v>
      </x:c>
      <x:c r="K5" s="2" t="str">
        <x:v>Quote required</x:v>
      </x:c>
      <x:c r="L5" s="56"/>
      <x:c r="M5" s="2" t="str">
        <x:v>unknown</x:v>
      </x:c>
      <x:c r="N5" s="2" t="str">
        <x:v>Quote required</x:v>
      </x:c>
      <x:c r="O5" s="56"/>
      <x:c r="P5" s="107" t="str">
        <x:v>verified</x:v>
      </x:c>
    </x:row>
    <x:row r="6">
      <x:c r="A6" s="55" t="str">
        <x:v>Commercial</x:v>
      </x:c>
      <x:c r="B6" s="2" t="str">
        <x:v>Predictable 3Y TCO</x:v>
      </x:c>
      <x:c r="C6" s="106" t="n">
        <x:v>0.08</x:v>
      </x:c>
      <x:c r="D6" s="2" t="str">
        <x:v>Yes</x:v>
      </x:c>
      <x:c r="E6" s="2" t="str">
        <x:v>0=unmodellable; 5=stable and fully modellable</x:v>
      </x:c>
      <x:c r="F6" s="56"/>
      <x:c r="G6" s="2" t="str">
        <x:v>provider-reported</x:v>
      </x:c>
      <x:c r="H6" s="2" t="str">
        <x:v>Model after endpoint selection</x:v>
      </x:c>
      <x:c r="I6" s="56"/>
      <x:c r="J6" s="2" t="str">
        <x:v>unknown</x:v>
      </x:c>
      <x:c r="K6" s="2" t="str">
        <x:v>Need quote</x:v>
      </x:c>
      <x:c r="L6" s="56"/>
      <x:c r="M6" s="2" t="str">
        <x:v>unknown</x:v>
      </x:c>
      <x:c r="N6" s="2" t="str">
        <x:v>Per-method pricing</x:v>
      </x:c>
      <x:c r="O6" s="56"/>
      <x:c r="P6" s="107" t="str">
        <x:v>observed</x:v>
      </x:c>
    </x:row>
    <x:row r="7">
      <x:c r="A7" s="55" t="str">
        <x:v>Technical</x:v>
      </x:c>
      <x:c r="B7" s="2" t="str">
        <x:v>Time to first successful request</x:v>
      </x:c>
      <x:c r="C7" s="106" t="n">
        <x:v>0.07</x:v>
      </x:c>
      <x:c r="D7" s="2" t="str">
        <x:v>No</x:v>
      </x:c>
      <x:c r="E7" s="2" t="str">
        <x:v>0=&gt;10 days; 5=&lt;2 hours</x:v>
      </x:c>
      <x:c r="F7" s="56"/>
      <x:c r="G7" s="2" t="str">
        <x:v>unknown</x:v>
      </x:c>
      <x:c r="H7" s="2" t="str">
        <x:v>Live test pending</x:v>
      </x:c>
      <x:c r="I7" s="56"/>
      <x:c r="J7" s="2" t="str">
        <x:v>unknown</x:v>
      </x:c>
      <x:c r="K7" s="2" t="str">
        <x:v>Live test pending</x:v>
      </x:c>
      <x:c r="L7" s="56"/>
      <x:c r="M7" s="2" t="str">
        <x:v>unknown</x:v>
      </x:c>
      <x:c r="N7" s="2" t="str">
        <x:v>Live test pending</x:v>
      </x:c>
      <x:c r="O7" s="56"/>
      <x:c r="P7" s="107" t="str">
        <x:v>unknown</x:v>
      </x:c>
    </x:row>
    <x:row r="8">
      <x:c r="A8" s="55" t="str">
        <x:v>Technical</x:v>
      </x:c>
      <x:c r="B8" s="2" t="str">
        <x:v>Batch / bulk processing</x:v>
      </x:c>
      <x:c r="C8" s="106" t="n">
        <x:v>0.06</x:v>
      </x:c>
      <x:c r="D8" s="2" t="str">
        <x:v>No</x:v>
      </x:c>
      <x:c r="E8" s="2" t="str">
        <x:v>0=none; 5=efficient documented bulk</x:v>
      </x:c>
      <x:c r="F8" s="56"/>
      <x:c r="G8" s="2" t="str">
        <x:v>verified</x:v>
      </x:c>
      <x:c r="H8" s="2" t="str">
        <x:v>Request API; no bulk registry feed</x:v>
      </x:c>
      <x:c r="I8" s="56"/>
      <x:c r="J8" s="2" t="str">
        <x:v>unknown</x:v>
      </x:c>
      <x:c r="K8" s="2" t="str">
        <x:v>Technical docs required</x:v>
      </x:c>
      <x:c r="L8" s="56"/>
      <x:c r="M8" s="2" t="str">
        <x:v>provider-reported</x:v>
      </x:c>
      <x:c r="N8" s="2" t="str">
        <x:v>Batch up to 1000 INNs claimed</x:v>
      </x:c>
      <x:c r="O8" s="56"/>
      <x:c r="P8" s="107" t="str">
        <x:v>verified</x:v>
      </x:c>
    </x:row>
    <x:row r="9">
      <x:c r="A9" s="55" t="str">
        <x:v>Technical</x:v>
      </x:c>
      <x:c r="B9" s="2" t="str">
        <x:v>Rate limits fit target volume</x:v>
      </x:c>
      <x:c r="C9" s="106" t="n">
        <x:v>0.07</x:v>
      </x:c>
      <x:c r="D9" s="2" t="str">
        <x:v>Yes</x:v>
      </x:c>
      <x:c r="E9" s="2" t="str">
        <x:v>0=insufficient/unknown; 5=comfortable documented headroom</x:v>
      </x:c>
      <x:c r="F9" s="56"/>
      <x:c r="G9" s="2" t="str">
        <x:v>verified</x:v>
      </x:c>
      <x:c r="H9" s="2" t="str">
        <x:v>30 requests/sec per IP for company lookup</x:v>
      </x:c>
      <x:c r="I9" s="56"/>
      <x:c r="J9" s="2" t="str">
        <x:v>unknown</x:v>
      </x:c>
      <x:c r="K9" s="2" t="str">
        <x:v>Ask provider</x:v>
      </x:c>
      <x:c r="L9" s="56"/>
      <x:c r="M9" s="2" t="str">
        <x:v>verified</x:v>
      </x:c>
      <x:c r="N9" s="2" t="str">
        <x:v>10k/day/method stated</x:v>
      </x:c>
      <x:c r="O9" s="56"/>
      <x:c r="P9" s="107" t="str">
        <x:v>not_applicable</x:v>
      </x:c>
    </x:row>
    <x:row r="10">
      <x:c r="A10" s="55" t="str">
        <x:v>Data</x:v>
      </x:c>
      <x:c r="B10" s="2" t="str">
        <x:v>Required field coverage</x:v>
      </x:c>
      <x:c r="C10" s="106" t="n">
        <x:v>0.12</x:v>
      </x:c>
      <x:c r="D10" s="2" t="str">
        <x:v>Yes</x:v>
      </x:c>
      <x:c r="E10" s="2" t="str">
        <x:v>0=&lt;40%; 5=&gt;95%</x:v>
      </x:c>
      <x:c r="F10" s="56"/>
      <x:c r="G10" s="2" t="str">
        <x:v>unknown</x:v>
      </x:c>
      <x:c r="H10" s="2" t="str">
        <x:v>Run shared field test</x:v>
      </x:c>
      <x:c r="I10" s="56"/>
      <x:c r="J10" s="2" t="str">
        <x:v>unknown</x:v>
      </x:c>
      <x:c r="K10" s="2" t="str">
        <x:v>Run shared field test</x:v>
      </x:c>
      <x:c r="L10" s="56"/>
      <x:c r="M10" s="2" t="str">
        <x:v>unknown</x:v>
      </x:c>
      <x:c r="N10" s="2" t="str">
        <x:v>Run shared field test</x:v>
      </x:c>
      <x:c r="O10" s="56"/>
      <x:c r="P10" s="107" t="str">
        <x:v>verified</x:v>
      </x:c>
    </x:row>
    <x:row r="11">
      <x:c r="A11" s="55" t="str">
        <x:v>Data</x:v>
      </x:c>
      <x:c r="B11" s="2" t="str">
        <x:v>Freshness and update visibility</x:v>
      </x:c>
      <x:c r="C11" s="106" t="n">
        <x:v>0.09</x:v>
      </x:c>
      <x:c r="D11" s="2" t="str">
        <x:v>Yes</x:v>
      </x:c>
      <x:c r="E11" s="2" t="str">
        <x:v>0=unknown; 5=measured and transparent</x:v>
      </x:c>
      <x:c r="F11" s="56"/>
      <x:c r="G11" s="2" t="str">
        <x:v>provider-reported</x:v>
      </x:c>
      <x:c r="H11" s="2" t="str">
        <x:v>Provider shows relevance date</x:v>
      </x:c>
      <x:c r="I11" s="56"/>
      <x:c r="J11" s="2" t="str">
        <x:v>provider-reported</x:v>
      </x:c>
      <x:c r="K11" s="2" t="str">
        <x:v>Source-dependent updates</x:v>
      </x:c>
      <x:c r="L11" s="56"/>
      <x:c r="M11" s="2" t="str">
        <x:v>provider-reported</x:v>
      </x:c>
      <x:c r="N11" s="2" t="str">
        <x:v>Test freshness</x:v>
      </x:c>
      <x:c r="O11" s="56"/>
      <x:c r="P11" s="107" t="str">
        <x:v>verified</x:v>
      </x:c>
    </x:row>
    <x:row r="12">
      <x:c r="A12" s="55" t="str">
        <x:v>Data</x:v>
      </x:c>
      <x:c r="B12" s="2" t="str">
        <x:v>Relationship / risk depth</x:v>
      </x:c>
      <x:c r="C12" s="106" t="n">
        <x:v>0.08</x:v>
      </x:c>
      <x:c r="D12" s="2" t="str">
        <x:v>No</x:v>
      </x:c>
      <x:c r="E12" s="2" t="str">
        <x:v>0=registry basics; 5=deep validated risk context</x:v>
      </x:c>
      <x:c r="F12" s="56"/>
      <x:c r="G12" s="2" t="str">
        <x:v>verified</x:v>
      </x:c>
      <x:c r="H12" s="2" t="str">
        <x:v>Tier-dependent company details</x:v>
      </x:c>
      <x:c r="I12" s="56"/>
      <x:c r="J12" s="2" t="str">
        <x:v>verified</x:v>
      </x:c>
      <x:c r="K12" s="2" t="str">
        <x:v>Broad risk context advertised</x:v>
      </x:c>
      <x:c r="L12" s="56"/>
      <x:c r="M12" s="2" t="str">
        <x:v>verified</x:v>
      </x:c>
      <x:c r="N12" s="2" t="str">
        <x:v>Broad relationship/risk methods</x:v>
      </x:c>
      <x:c r="O12" s="56"/>
      <x:c r="P12" s="107" t="str">
        <x:v>not_applicable</x:v>
      </x:c>
    </x:row>
    <x:row r="13">
      <x:c r="A13" s="55" t="str">
        <x:v>Reliability</x:v>
      </x:c>
      <x:c r="B13" s="2" t="str">
        <x:v>SLA and status transparency</x:v>
      </x:c>
      <x:c r="C13" s="106" t="n">
        <x:v>0.07</x:v>
      </x:c>
      <x:c r="D13" s="2" t="str">
        <x:v>Yes</x:v>
      </x:c>
      <x:c r="E13" s="2" t="str">
        <x:v>0=none; 5=strong SLA + status history</x:v>
      </x:c>
      <x:c r="F13" s="56"/>
      <x:c r="G13" s="2" t="str">
        <x:v>verified</x:v>
      </x:c>
      <x:c r="H13" s="2" t="str">
        <x:v>Offer states availability; verify remedies</x:v>
      </x:c>
      <x:c r="I13" s="56"/>
      <x:c r="J13" s="2" t="str">
        <x:v>unknown</x:v>
      </x:c>
      <x:c r="K13" s="2" t="str">
        <x:v>Request SLA</x:v>
      </x:c>
      <x:c r="L13" s="56"/>
      <x:c r="M13" s="2" t="str">
        <x:v>unknown</x:v>
      </x:c>
      <x:c r="N13" s="2" t="str">
        <x:v>Request SLA</x:v>
      </x:c>
      <x:c r="O13" s="56"/>
      <x:c r="P13" s="107" t="str">
        <x:v>unknown</x:v>
      </x:c>
    </x:row>
    <x:row r="14">
      <x:c r="A14" s="55" t="str">
        <x:v>Legal</x:v>
      </x:c>
      <x:c r="B14" s="2" t="str">
        <x:v>Storage and caching rights</x:v>
      </x:c>
      <x:c r="C14" s="106" t="n">
        <x:v>0.07</x:v>
      </x:c>
      <x:c r="D14" s="2" t="str">
        <x:v>Yes</x:v>
      </x:c>
      <x:c r="E14" s="2" t="str">
        <x:v>0=prohibited/unknown; 5=explicit and suitable</x:v>
      </x:c>
      <x:c r="F14" s="56"/>
      <x:c r="G14" s="2" t="str">
        <x:v>verified</x:v>
      </x:c>
      <x:c r="H14" s="2" t="str">
        <x:v>Offer/support states API data handling; review selected plan</x:v>
      </x:c>
      <x:c r="I14" s="56"/>
      <x:c r="J14" s="2" t="str">
        <x:v>unknown</x:v>
      </x:c>
      <x:c r="K14" s="2" t="str">
        <x:v>Request written terms</x:v>
      </x:c>
      <x:c r="L14" s="56"/>
      <x:c r="M14" s="2" t="str">
        <x:v>unknown</x:v>
      </x:c>
      <x:c r="N14" s="2" t="str">
        <x:v>Request written terms</x:v>
      </x:c>
      <x:c r="O14" s="56"/>
      <x:c r="P14" s="107" t="str">
        <x:v>needs-recheck</x:v>
      </x:c>
    </x:row>
    <x:row r="15">
      <x:c r="A15" s="55" t="str">
        <x:v>Legal</x:v>
      </x:c>
      <x:c r="B15" s="2" t="str">
        <x:v>Redistribution / SaaS rights</x:v>
      </x:c>
      <x:c r="C15" s="106" t="n">
        <x:v>0.06</x:v>
      </x:c>
      <x:c r="D15" s="2" t="str">
        <x:v>Yes</x:v>
      </x:c>
      <x:c r="E15" s="2" t="str">
        <x:v>0=prohibited/unknown; 5=explicitly permitted</x:v>
      </x:c>
      <x:c r="F15" s="56"/>
      <x:c r="G15" s="2" t="str">
        <x:v>needs-recheck</x:v>
      </x:c>
      <x:c r="H15" s="2" t="str">
        <x:v>Confirm downstream use</x:v>
      </x:c>
      <x:c r="I15" s="56"/>
      <x:c r="J15" s="2" t="str">
        <x:v>unknown</x:v>
      </x:c>
      <x:c r="K15" s="2" t="str">
        <x:v>Request written terms</x:v>
      </x:c>
      <x:c r="L15" s="56"/>
      <x:c r="M15" s="2" t="str">
        <x:v>unknown</x:v>
      </x:c>
      <x:c r="N15" s="2" t="str">
        <x:v>Request written terms</x:v>
      </x:c>
      <x:c r="O15" s="56"/>
      <x:c r="P15" s="107" t="str">
        <x:v>needs-recheck</x:v>
      </x:c>
    </x:row>
    <x:row r="16">
      <x:c r="A16" s="55" t="str">
        <x:v>Security</x:v>
      </x:c>
      <x:c r="B16" s="2" t="str">
        <x:v>Credential and access controls</x:v>
      </x:c>
      <x:c r="C16" s="106" t="n">
        <x:v>0.05</x:v>
      </x:c>
      <x:c r="D16" s="2" t="str">
        <x:v>No</x:v>
      </x:c>
      <x:c r="E16" s="2" t="str">
        <x:v>0=weak/unknown; 5=strong documented controls</x:v>
      </x:c>
      <x:c r="F16" s="56"/>
      <x:c r="G16" s="2" t="str">
        <x:v>verified</x:v>
      </x:c>
      <x:c r="H16" s="2" t="str">
        <x:v>API key; secret for some methods</x:v>
      </x:c>
      <x:c r="I16" s="56"/>
      <x:c r="J16" s="2" t="str">
        <x:v>verified</x:v>
      </x:c>
      <x:c r="K16" s="2" t="str">
        <x:v>Developer key in license</x:v>
      </x:c>
      <x:c r="L16" s="56"/>
      <x:c r="M16" s="2" t="str">
        <x:v>unknown</x:v>
      </x:c>
      <x:c r="N16" s="2" t="str">
        <x:v>Request auth design</x:v>
      </x:c>
      <x:c r="O16" s="56"/>
      <x:c r="P16" s="107" t="str">
        <x:v>verified</x:v>
      </x:c>
    </x:row>
    <x:row r="17">
      <x:c r="A17" s="55" t="str">
        <x:v>Developer Experience</x:v>
      </x:c>
      <x:c r="B17" s="2" t="str">
        <x:v>Documentation quality</x:v>
      </x:c>
      <x:c r="C17" s="106" t="n">
        <x:v>0.05</x:v>
      </x:c>
      <x:c r="D17" s="2" t="str">
        <x:v>No</x:v>
      </x:c>
      <x:c r="E17" s="2" t="str">
        <x:v>0=insufficient; 5=complete examples/errors/versioning</x:v>
      </x:c>
      <x:c r="F17" s="56"/>
      <x:c r="G17" s="2" t="str">
        <x:v>verified</x:v>
      </x:c>
      <x:c r="H17" s="2" t="str">
        <x:v>Public examples in many languages</x:v>
      </x:c>
      <x:c r="I17" s="56"/>
      <x:c r="J17" s="2" t="str">
        <x:v>provider-reported</x:v>
      </x:c>
      <x:c r="K17" s="2" t="str">
        <x:v>Full docs require access</x:v>
      </x:c>
      <x:c r="L17" s="56"/>
      <x:c r="M17" s="2" t="str">
        <x:v>provider-reported</x:v>
      </x:c>
      <x:c r="N17" s="2" t="str">
        <x:v>Swagger expected during onboarding</x:v>
      </x:c>
      <x:c r="O17" s="56"/>
      <x:c r="P17" s="107" t="str">
        <x:v>verified</x:v>
      </x:c>
    </x:row>
    <x:row r="18">
      <x:c r="A18" s="59" t="str">
        <x:v>Operations</x:v>
      </x:c>
      <x:c r="B18" s="60" t="str">
        <x:v>Monitoring and change handling</x:v>
      </x:c>
      <x:c r="C18" s="109" t="n">
        <x:v>0.03</x:v>
      </x:c>
      <x:c r="D18" s="60" t="str">
        <x:v>No</x:v>
      </x:c>
      <x:c r="E18" s="60" t="str">
        <x:v>0=none; 5=webhooks/alerts/changelog</x:v>
      </x:c>
      <x:c r="F18" s="61"/>
      <x:c r="G18" s="60" t="str">
        <x:v>observed</x:v>
      </x:c>
      <x:c r="H18" s="60" t="str">
        <x:v>Version endpoint and updates exist</x:v>
      </x:c>
      <x:c r="I18" s="61"/>
      <x:c r="J18" s="60" t="str">
        <x:v>provider-reported</x:v>
      </x:c>
      <x:c r="K18" s="60" t="str">
        <x:v>API news published</x:v>
      </x:c>
      <x:c r="L18" s="61"/>
      <x:c r="M18" s="60" t="str">
        <x:v>provider-reported</x:v>
      </x:c>
      <x:c r="N18" s="60" t="str">
        <x:v>Monitoring features claimed</x:v>
      </x:c>
      <x:c r="O18" s="61"/>
      <x:c r="P18" s="110" t="str">
        <x:v>observed</x:v>
      </x:c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>
      <x:c r="A21" s="127" t="str">
        <x:v>Calculated Results / Расчётные результаты</x:v>
      </x:c>
      <x:c r="B21" s="127"/>
      <x:c r="C21" s="127"/>
      <x:c r="D21" s="127"/>
      <x:c r="E21" s="127"/>
      <x:c r="F21" s="127"/>
      <x:c r="G21" s="127"/>
      <x:c r="H21" s="127"/>
      <x:c r="I21" s="127"/>
      <x:c r="J21" s="127"/>
      <x:c r="K21" s="127"/>
      <x:c r="L21" s="127"/>
      <x:c r="M21" s="127"/>
      <x:c r="N21" s="127"/>
      <x:c r="O21" s="127"/>
      <x:c r="P21" s="127"/>
    </x:row>
    <x:row r="22">
      <x:c r="A22" s="34" t="str">
        <x:v>Provider</x:v>
      </x:c>
      <x:c r="B22" s="35" t="str">
        <x:v>Weighted Score / 5</x:v>
      </x:c>
      <x:c r="C22" s="35" t="str">
        <x:v>Scored Weight Coverage</x:v>
      </x:c>
      <x:c r="D22" s="35" t="str">
        <x:v>Evidence Coverage</x:v>
      </x:c>
      <x:c r="E22" s="35" t="str">
        <x:v>Critical Criteria Missing</x:v>
      </x:c>
      <x:c r="F22" s="36" t="str">
        <x:v>Status</x:v>
      </x:c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>
      <x:c r="A23" s="55" t="str">
        <x:v>DaData</x:v>
      </x:c>
      <x:c r="B23" s="128" t="str">
        <x:f>IF(COUNT(F$5:F$18)=0,"",SUMPRODUCT($C$5:$C$18,F$5:F$18)/SUMIF(F$5:F$18,"&lt;&gt;",$C$5:$C$18))</x:f>
      </x:c>
      <x:c r="C23" s="106" t="n">
        <x:f>SUMIF(F$5:F$18,"&lt;&gt;",$C$5:$C$18)/SUM($C$5:$C$18)</x:f>
        <x:v>0</x:v>
      </x:c>
      <x:c r="D23" s="106" t="n">
        <x:f>COUNTIF(G$5:G$18,"&lt;&gt;unknown")/COUNTA(G$5:G$18)</x:f>
        <x:v>0.8571428571428571</x:v>
      </x:c>
      <x:c r="E23" s="2" t="n">
        <x:f>COUNTIFS($D$5:$D$18,"Yes",F$5:F$18,"")+COUNTIFS($D$5:$D$18,"Yes",G$5:G$18,"unknown")</x:f>
        <x:v>1</x:v>
      </x:c>
      <x:c r="F23" s="107" t="str">
        <x:f>IF(C23&lt;0.75,"INCOMPLETE",IF(E23&gt;0,"CRITICAL GAPS","READY FOR DECISION"))</x:f>
        <x:v>INCOMPLETE</x:v>
      </x:c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>
      <x:c r="A24" s="55" t="str">
        <x:v>Kontur.Focus API</x:v>
      </x:c>
      <x:c r="B24" s="128" t="str">
        <x:f>IF(COUNT(I$5:I$18)=0,"",SUMPRODUCT($C$5:$C$18,I$5:I$18)/SUMIF(I$5:I$18,"&lt;&gt;",$C$5:$C$18))</x:f>
      </x:c>
      <x:c r="C24" s="106" t="n">
        <x:f>SUMIF(I$5:I$18,"&lt;&gt;",$C$5:$C$18)/SUM($C$5:$C$18)</x:f>
        <x:v>0</x:v>
      </x:c>
      <x:c r="D24" s="106" t="n">
        <x:f>COUNTIF(J$5:J$18,"&lt;&gt;unknown")/COUNTA(J$5:J$18)</x:f>
        <x:v>0.35714285714285715</x:v>
      </x:c>
      <x:c r="E24" s="2" t="n">
        <x:f>COUNTIFS($D$5:$D$18,"Yes",I$5:I$18,"")+COUNTIFS($D$5:$D$18,"Yes",J$5:J$18,"unknown")</x:f>
        <x:v>7</x:v>
      </x:c>
      <x:c r="F24" s="107" t="str">
        <x:f>IF(C24&lt;0.75,"INCOMPLETE",IF(E24&gt;0,"CRITICAL GAPS","READY FOR DECISION"))</x:f>
        <x:v>INCOMPLETE</x:v>
      </x:c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>
      <x:c r="A25" s="55" t="str">
        <x:v>Seldon.Basis API</x:v>
      </x:c>
      <x:c r="B25" s="128" t="str">
        <x:f>IF(COUNT(L$5:L$18)=0,"",SUMPRODUCT($C$5:$C$18,L$5:L$18)/SUMIF(L$5:L$18,"&lt;&gt;",$C$5:$C$18))</x:f>
      </x:c>
      <x:c r="C25" s="106" t="n">
        <x:f>SUMIF(L$5:L$18,"&lt;&gt;",$C$5:$C$18)/SUM($C$5:$C$18)</x:f>
        <x:v>0</x:v>
      </x:c>
      <x:c r="D25" s="106" t="n">
        <x:f>COUNTIF(M$5:M$18,"&lt;&gt;unknown")/COUNTA(M$5:M$18)</x:f>
        <x:v>0.42857142857142855</x:v>
      </x:c>
      <x:c r="E25" s="2" t="n">
        <x:f>COUNTIFS($D$5:$D$18,"Yes",L$5:L$18,"")+COUNTIFS($D$5:$D$18,"Yes",M$5:M$18,"unknown")</x:f>
        <x:v>6</x:v>
      </x:c>
      <x:c r="F25" s="107" t="str">
        <x:f>IF(C25&lt;0.75,"INCOMPLETE",IF(E25&gt;0,"CRITICAL GAPS","READY FOR DECISION"))</x:f>
        <x:v>INCOMPLETE</x:v>
      </x:c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>
      <x:c r="A26" s="59" t="str">
        <x:v>FTS EGRUL/EGRIP</x:v>
      </x:c>
      <x:c r="B26" s="129" t="str">
        <x:f>IF(COUNT(O$5:O$18)=0,"",SUMPRODUCT($C$5:$C$18,O$5:O$18)/SUMIF(O$5:O$18,"&lt;&gt;",$C$5:$C$18))</x:f>
      </x:c>
      <x:c r="C26" s="109" t="n">
        <x:f>SUMIF(O$5:O$18,"&lt;&gt;",$C$5:$C$18)/SUM($C$5:$C$18)</x:f>
        <x:v>0</x:v>
      </x:c>
      <x:c r="D26" s="109" t="n">
        <x:f>COUNTIF(P$5:P$18,"&lt;&gt;unknown")/COUNTA(P$5:P$18)</x:f>
        <x:v>0.8571428571428571</x:v>
      </x:c>
      <x:c r="E26" s="60" t="n">
        <x:f>COUNTIFS($D$5:$D$18,"Yes",O$5:O$18,"")+COUNTIFS($D$5:$D$18,"Yes",P$5:P$18,"unknown")</x:f>
        <x:v>1</x:v>
      </x:c>
      <x:c r="F26" s="110" t="str">
        <x:f>IF(C26&lt;0.75,"INCOMPLETE",IF(E26&gt;0,"CRITICAL GAPS","READY FOR DECISION"))</x:f>
        <x:v>INCOMPLETE</x:v>
      </x:c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</x:sheetData>
  <x:mergeCells>
    <x:mergeCell ref="A1:P1"/>
    <x:mergeCell ref="A2:P2"/>
    <x:mergeCell ref="A21:P21"/>
  </x:mergeCells>
  <x:conditionalFormatting sqref="B23:B26">
    <x:cfRule type="dataBar" priority="1">
      <x:dataBar>
        <x:cfvo type="min"/>
        <x:cfvo type="max"/>
        <x:color rgb="FFE97132"/>
      </x:dataBar>
      <x:extLst>
        <x:ext xmlns:x14="http://schemas.microsoft.com/office/spreadsheetml/2009/9/main" uri="{B025F937-C7B1-47D3-B67F-A62EFF666E3E}">
          <x14:id>{AAABBAA2-F6AF-5300-BF23-7B24E3E31E84}</x14:id>
        </x:ext>
      </x:extLst>
    </x:cfRule>
  </x:conditionalFormatting>
  <x:dataValidations count="8">
    <x:dataValidation type="list" sqref="F5:F18">
      <x:formula1>Lists!$D$2:$D$7</x:formula1>
    </x:dataValidation>
    <x:dataValidation type="list" sqref="I5:I18">
      <x:formula1>Lists!$D$2:$D$7</x:formula1>
    </x:dataValidation>
    <x:dataValidation type="list" sqref="L5:L18">
      <x:formula1>Lists!$D$2:$D$7</x:formula1>
    </x:dataValidation>
    <x:dataValidation type="list" sqref="O5:O18">
      <x:formula1>Lists!$D$2:$D$7</x:formula1>
    </x:dataValidation>
    <x:dataValidation type="list" sqref="G5:G18">
      <x:formula1>Lists!$A$2:$A$6</x:formula1>
    </x:dataValidation>
    <x:dataValidation type="list" sqref="J5:J18">
      <x:formula1>Lists!$A$2:$A$6</x:formula1>
    </x:dataValidation>
    <x:dataValidation type="list" sqref="M5:M18">
      <x:formula1>Lists!$A$2:$A$6</x:formula1>
    </x:dataValidation>
    <x:dataValidation type="list" sqref="P5:P18">
      <x:formula1>Lists!$A$2:$A$6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AABBAA2-F6AF-5300-BF23-7B24E3E31E84}">
            <x14:dataBar gradient="1">
              <x14:cfvo type="min"/>
              <x14:cfvo type="max"/>
              <x14:fillColor rgb="FFE97132"/>
            </x14:dataBar>
          </x14:cfRule>
          <xm:sqref>B23:B26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5" hidden="0" customWidth="1"/>
    <x:col min="3" max="3" width="18" hidden="0" customWidth="1"/>
    <x:col min="4" max="4" width="16" hidden="0" customWidth="1"/>
    <x:col min="5" max="5" width="20" hidden="0" customWidth="1"/>
    <x:col min="6" max="6" width="40" hidden="0" customWidth="1"/>
    <x:col min="7" max="7" width="12" hidden="0" customWidth="1"/>
    <x:col min="8" max="8" width="38" hidden="0" customWidth="1"/>
    <x:col min="9" max="9" width="14" hidden="0" customWidth="1"/>
    <x:col min="10" max="10" width="16" hidden="0" customWidth="1"/>
    <x:col min="11" max="11" width="12" hidden="0" customWidth="1"/>
  </x:cols>
  <x:sheetData>
    <x:row r="1">
      <x:c r="A1" s="15" t="str">
        <x:v>Shared Evaluation Sample / Единая тестовая выборка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</x:row>
    <x:row r="2">
      <x:c r="A2" s="22" t="str">
        <x:v>Use public company identifiers only. Do not include confidential customers or personal identifiers without a lawful basis.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</x:row>
    <x:row r="4">
      <x:c r="A4" s="34" t="str">
        <x:v>Test ID</x:v>
      </x:c>
      <x:c r="B4" s="35" t="str">
        <x:v>Scenario</x:v>
      </x:c>
      <x:c r="C4" s="35" t="str">
        <x:v>Entity Type</x:v>
      </x:c>
      <x:c r="D4" s="35" t="str">
        <x:v>Identifier Type</x:v>
      </x:c>
      <x:c r="E4" s="35" t="str">
        <x:v>Identifier</x:v>
      </x:c>
      <x:c r="F4" s="35" t="str">
        <x:v>Expected Checks</x:v>
      </x:c>
      <x:c r="G4" s="35" t="str">
        <x:v>Priority</x:v>
      </x:c>
      <x:c r="H4" s="35" t="str">
        <x:v>Source / Reason</x:v>
      </x:c>
      <x:c r="I4" s="35" t="str">
        <x:v>Safe to Share?</x:v>
      </x:c>
      <x:c r="J4" s="35" t="str">
        <x:v>Owner</x:v>
      </x:c>
      <x:c r="K4" s="36" t="str">
        <x:v>Ready?</x:v>
      </x:c>
    </x:row>
    <x:row r="5">
      <x:c r="A5" s="55" t="str">
        <x:v>TC-01</x:v>
      </x:c>
      <x:c r="B5" s="2" t="str">
        <x:v>Large active company</x:v>
      </x:c>
      <x:c r="C5" s="2" t="str">
        <x:v>Legal entity</x:v>
      </x:c>
      <x:c r="D5" s="2" t="str">
        <x:v>INN</x:v>
      </x:c>
      <x:c r="E5" s="56" t="str">
        <x:v>7707083893</x:v>
      </x:c>
      <x:c r="F5" s="2" t="str">
        <x:v>Core details, branches, finance, founders, latency</x:v>
      </x:c>
      <x:c r="G5" s="2" t="str">
        <x:v>High</x:v>
      </x:c>
      <x:c r="H5" s="2" t="str">
        <x:v>Public DaData documentation example</x:v>
      </x:c>
      <x:c r="I5" s="2" t="str">
        <x:v>Yes</x:v>
      </x:c>
      <x:c r="J5" s="56" t="str"/>
      <x:c r="K5" s="58" t="str">
        <x:v>Yes</x:v>
      </x:c>
    </x:row>
    <x:row r="6">
      <x:c r="A6" s="55" t="str">
        <x:v>TC-02</x:v>
      </x:c>
      <x:c r="B6" s="2" t="str">
        <x:v>Head office vs branch</x:v>
      </x:c>
      <x:c r="C6" s="2" t="str">
        <x:v>Branch</x:v>
      </x:c>
      <x:c r="D6" s="2" t="str">
        <x:v>INN/KPP</x:v>
      </x:c>
      <x:c r="E6" s="56" t="str">
        <x:v>7707083893/540602001</x:v>
      </x:c>
      <x:c r="F6" s="2" t="str">
        <x:v>Branch matching, KPP, result multiplicity</x:v>
      </x:c>
      <x:c r="G6" s="2" t="str">
        <x:v>High</x:v>
      </x:c>
      <x:c r="H6" s="2" t="str">
        <x:v>Public DaData documentation example</x:v>
      </x:c>
      <x:c r="I6" s="2" t="str">
        <x:v>Yes</x:v>
      </x:c>
      <x:c r="J6" s="56" t="str"/>
      <x:c r="K6" s="58" t="str">
        <x:v>Yes</x:v>
      </x:c>
    </x:row>
    <x:row r="7">
      <x:c r="A7" s="55" t="str">
        <x:v>TC-03</x:v>
      </x:c>
      <x:c r="B7" s="2" t="str">
        <x:v>Individual entrepreneur</x:v>
      </x:c>
      <x:c r="C7" s="2" t="str">
        <x:v>Sole proprietor</x:v>
      </x:c>
      <x:c r="D7" s="2" t="str">
        <x:v>INN</x:v>
      </x:c>
      <x:c r="E7" s="56" t="str">
        <x:v>784806113663</x:v>
      </x:c>
      <x:c r="F7" s="2" t="str">
        <x:v>Entity type, status, registration data</x:v>
      </x:c>
      <x:c r="G7" s="2" t="str">
        <x:v>High</x:v>
      </x:c>
      <x:c r="H7" s="2" t="str">
        <x:v>Public DaData documentation example</x:v>
      </x:c>
      <x:c r="I7" s="2" t="str">
        <x:v>Yes</x:v>
      </x:c>
      <x:c r="J7" s="56" t="str"/>
      <x:c r="K7" s="58" t="str">
        <x:v>Yes</x:v>
      </x:c>
    </x:row>
    <x:row r="8">
      <x:c r="A8" s="55" t="str">
        <x:v>TC-04</x:v>
      </x:c>
      <x:c r="B8" s="2" t="str">
        <x:v>Affiliation query seed</x:v>
      </x:c>
      <x:c r="C8" s="2" t="str">
        <x:v>Legal entity</x:v>
      </x:c>
      <x:c r="D8" s="2" t="str">
        <x:v>INN</x:v>
      </x:c>
      <x:c r="E8" s="56" t="str">
        <x:v>7736207543</x:v>
      </x:c>
      <x:c r="F8" s="2" t="str">
        <x:v>Related companies and relationship explanation</x:v>
      </x:c>
      <x:c r="G8" s="2" t="str">
        <x:v>High</x:v>
      </x:c>
      <x:c r="H8" s="2" t="str">
        <x:v>Public DaData documentation example</x:v>
      </x:c>
      <x:c r="I8" s="2" t="str">
        <x:v>Yes</x:v>
      </x:c>
      <x:c r="J8" s="56" t="str"/>
      <x:c r="K8" s="58" t="str">
        <x:v>Yes</x:v>
      </x:c>
    </x:row>
    <x:row r="9">
      <x:c r="A9" s="55" t="str">
        <x:v>TC-05</x:v>
      </x:c>
      <x:c r="B9" s="2" t="str">
        <x:v>Liquidating company</x:v>
      </x:c>
      <x:c r="C9" s="2" t="str">
        <x:v>Legal entity</x:v>
      </x:c>
      <x:c r="D9" s="2" t="str">
        <x:v>INN</x:v>
      </x:c>
      <x:c r="E9" s="56" t="str"/>
      <x:c r="F9" s="2" t="str">
        <x:v>Status freshness, liquidation date</x:v>
      </x:c>
      <x:c r="G9" s="2" t="str">
        <x:v>Critical</x:v>
      </x:c>
      <x:c r="H9" s="2" t="str">
        <x:v>Select a current public example and record source</x:v>
      </x:c>
      <x:c r="I9" s="2" t="str">
        <x:v>Unknown</x:v>
      </x:c>
      <x:c r="J9" s="56" t="str"/>
      <x:c r="K9" s="58" t="str">
        <x:v>No</x:v>
      </x:c>
    </x:row>
    <x:row r="10">
      <x:c r="A10" s="55" t="str">
        <x:v>TC-06</x:v>
      </x:c>
      <x:c r="B10" s="2" t="str">
        <x:v>Liquidated company</x:v>
      </x:c>
      <x:c r="C10" s="2" t="str">
        <x:v>Legal entity</x:v>
      </x:c>
      <x:c r="D10" s="2" t="str">
        <x:v>INN</x:v>
      </x:c>
      <x:c r="E10" s="56" t="str"/>
      <x:c r="F10" s="2" t="str">
        <x:v>Historical status and dates</x:v>
      </x:c>
      <x:c r="G10" s="2" t="str">
        <x:v>High</x:v>
      </x:c>
      <x:c r="H10" s="2" t="str">
        <x:v>Select a public registry example</x:v>
      </x:c>
      <x:c r="I10" s="2" t="str">
        <x:v>Unknown</x:v>
      </x:c>
      <x:c r="J10" s="56" t="str"/>
      <x:c r="K10" s="58" t="str">
        <x:v>No</x:v>
      </x:c>
    </x:row>
    <x:row r="11">
      <x:c r="A11" s="55" t="str">
        <x:v>TC-07</x:v>
      </x:c>
      <x:c r="B11" s="2" t="str">
        <x:v>Bankruptcy signal</x:v>
      </x:c>
      <x:c r="C11" s="2" t="str">
        <x:v>Legal entity</x:v>
      </x:c>
      <x:c r="D11" s="2" t="str">
        <x:v>INN</x:v>
      </x:c>
      <x:c r="E11" s="56" t="str"/>
      <x:c r="F11" s="2" t="str">
        <x:v>Bankruptcy sources, date, false-positive handling</x:v>
      </x:c>
      <x:c r="G11" s="2" t="str">
        <x:v>Critical</x:v>
      </x:c>
      <x:c r="H11" s="2" t="str">
        <x:v>Select a public example</x:v>
      </x:c>
      <x:c r="I11" s="2" t="str">
        <x:v>Unknown</x:v>
      </x:c>
      <x:c r="J11" s="56" t="str"/>
      <x:c r="K11" s="58" t="str">
        <x:v>No</x:v>
      </x:c>
    </x:row>
    <x:row r="12">
      <x:c r="A12" s="55" t="str">
        <x:v>TC-08</x:v>
      </x:c>
      <x:c r="B12" s="2" t="str">
        <x:v>Reorganization</x:v>
      </x:c>
      <x:c r="C12" s="2" t="str">
        <x:v>Legal entity</x:v>
      </x:c>
      <x:c r="D12" s="2" t="str">
        <x:v>INN</x:v>
      </x:c>
      <x:c r="E12" s="56" t="str"/>
      <x:c r="F12" s="2" t="str">
        <x:v>Predecessor/successor relationships</x:v>
      </x:c>
      <x:c r="G12" s="2" t="str">
        <x:v>High</x:v>
      </x:c>
      <x:c r="H12" s="2" t="str">
        <x:v>Select a public example</x:v>
      </x:c>
      <x:c r="I12" s="2" t="str">
        <x:v>Unknown</x:v>
      </x:c>
      <x:c r="J12" s="56" t="str"/>
      <x:c r="K12" s="58" t="str">
        <x:v>No</x:v>
      </x:c>
    </x:row>
    <x:row r="13">
      <x:c r="A13" s="55" t="str">
        <x:v>TC-09</x:v>
      </x:c>
      <x:c r="B13" s="2" t="str">
        <x:v>Many branches</x:v>
      </x:c>
      <x:c r="C13" s="2" t="str">
        <x:v>Legal entity</x:v>
      </x:c>
      <x:c r="D13" s="2" t="str">
        <x:v>INN</x:v>
      </x:c>
      <x:c r="E13" s="56" t="str"/>
      <x:c r="F13" s="2" t="str">
        <x:v>Branch completeness and stable IDs</x:v>
      </x:c>
      <x:c r="G13" s="2" t="str">
        <x:v>Medium</x:v>
      </x:c>
      <x:c r="H13" s="2" t="str">
        <x:v>Select a public example</x:v>
      </x:c>
      <x:c r="I13" s="2" t="str">
        <x:v>Unknown</x:v>
      </x:c>
      <x:c r="J13" s="56" t="str"/>
      <x:c r="K13" s="58" t="str">
        <x:v>No</x:v>
      </x:c>
    </x:row>
    <x:row r="14">
      <x:c r="A14" s="55" t="str">
        <x:v>TC-10</x:v>
      </x:c>
      <x:c r="B14" s="2" t="str">
        <x:v>Recent address change</x:v>
      </x:c>
      <x:c r="C14" s="2" t="str">
        <x:v>Legal entity</x:v>
      </x:c>
      <x:c r="D14" s="2" t="str">
        <x:v>INN</x:v>
      </x:c>
      <x:c r="E14" s="56" t="str"/>
      <x:c r="F14" s="2" t="str">
        <x:v>Freshness and historical address</x:v>
      </x:c>
      <x:c r="G14" s="2" t="str">
        <x:v>Critical</x:v>
      </x:c>
      <x:c r="H14" s="2" t="str">
        <x:v>Select a recently changed public company</x:v>
      </x:c>
      <x:c r="I14" s="2" t="str">
        <x:v>Unknown</x:v>
      </x:c>
      <x:c r="J14" s="56" t="str"/>
      <x:c r="K14" s="58" t="str">
        <x:v>No</x:v>
      </x:c>
    </x:row>
    <x:row r="15">
      <x:c r="A15" s="55" t="str">
        <x:v>TC-11</x:v>
      </x:c>
      <x:c r="B15" s="2" t="str">
        <x:v>No financial statements</x:v>
      </x:c>
      <x:c r="C15" s="2" t="str">
        <x:v>Legal entity</x:v>
      </x:c>
      <x:c r="D15" s="2" t="str">
        <x:v>INN</x:v>
      </x:c>
      <x:c r="E15" s="56" t="str"/>
      <x:c r="F15" s="2" t="str">
        <x:v>Missing-data semantics</x:v>
      </x:c>
      <x:c r="G15" s="2" t="str">
        <x:v>Medium</x:v>
      </x:c>
      <x:c r="H15" s="2" t="str">
        <x:v>Select a company with sparse public finance data</x:v>
      </x:c>
      <x:c r="I15" s="2" t="str">
        <x:v>Unknown</x:v>
      </x:c>
      <x:c r="J15" s="56" t="str"/>
      <x:c r="K15" s="58" t="str">
        <x:v>No</x:v>
      </x:c>
    </x:row>
    <x:row r="16">
      <x:c r="A16" s="55" t="str">
        <x:v>TC-12</x:v>
      </x:c>
      <x:c r="B16" s="2" t="str">
        <x:v>Large court history</x:v>
      </x:c>
      <x:c r="C16" s="2" t="str">
        <x:v>Legal entity</x:v>
      </x:c>
      <x:c r="D16" s="2" t="str">
        <x:v>INN</x:v>
      </x:c>
      <x:c r="E16" s="56" t="str"/>
      <x:c r="F16" s="2" t="str">
        <x:v>Court aggregation, roles, duplicates</x:v>
      </x:c>
      <x:c r="G16" s="2" t="str">
        <x:v>High</x:v>
      </x:c>
      <x:c r="H16" s="2" t="str">
        <x:v>Select a public example</x:v>
      </x:c>
      <x:c r="I16" s="2" t="str">
        <x:v>Unknown</x:v>
      </x:c>
      <x:c r="J16" s="56" t="str"/>
      <x:c r="K16" s="58" t="str">
        <x:v>No</x:v>
      </x:c>
    </x:row>
    <x:row r="17">
      <x:c r="A17" s="55" t="str">
        <x:v>TC-13</x:v>
      </x:c>
      <x:c r="B17" s="2" t="str">
        <x:v>Enforcement proceedings</x:v>
      </x:c>
      <x:c r="C17" s="2" t="str">
        <x:v>Legal entity</x:v>
      </x:c>
      <x:c r="D17" s="2" t="str">
        <x:v>INN</x:v>
      </x:c>
      <x:c r="E17" s="56" t="str"/>
      <x:c r="F17" s="2" t="str">
        <x:v>FSSP context and freshness</x:v>
      </x:c>
      <x:c r="G17" s="2" t="str">
        <x:v>High</x:v>
      </x:c>
      <x:c r="H17" s="2" t="str">
        <x:v>Select a public example</x:v>
      </x:c>
      <x:c r="I17" s="2" t="str">
        <x:v>Unknown</x:v>
      </x:c>
      <x:c r="J17" s="56" t="str"/>
      <x:c r="K17" s="58" t="str">
        <x:v>No</x:v>
      </x:c>
    </x:row>
    <x:row r="18">
      <x:c r="A18" s="55" t="str">
        <x:v>TC-14</x:v>
      </x:c>
      <x:c r="B18" s="2" t="str">
        <x:v>Public procurement supplier</x:v>
      </x:c>
      <x:c r="C18" s="2" t="str">
        <x:v>Legal entity</x:v>
      </x:c>
      <x:c r="D18" s="2" t="str">
        <x:v>INN</x:v>
      </x:c>
      <x:c r="E18" s="56" t="str"/>
      <x:c r="F18" s="2" t="str">
        <x:v>Contracts, amount, customer, recency</x:v>
      </x:c>
      <x:c r="G18" s="2" t="str">
        <x:v>Medium</x:v>
      </x:c>
      <x:c r="H18" s="2" t="str">
        <x:v>Select a public example</x:v>
      </x:c>
      <x:c r="I18" s="2" t="str">
        <x:v>Unknown</x:v>
      </x:c>
      <x:c r="J18" s="56" t="str"/>
      <x:c r="K18" s="58" t="str">
        <x:v>No</x:v>
      </x:c>
    </x:row>
    <x:row r="19">
      <x:c r="A19" s="55" t="str">
        <x:v>TC-15</x:v>
      </x:c>
      <x:c r="B19" s="2" t="str">
        <x:v>Unreliable supplier registry</x:v>
      </x:c>
      <x:c r="C19" s="2" t="str">
        <x:v>Legal entity</x:v>
      </x:c>
      <x:c r="D19" s="2" t="str">
        <x:v>INN</x:v>
      </x:c>
      <x:c r="E19" s="56" t="str"/>
      <x:c r="F19" s="2" t="str">
        <x:v>RNP signal, source and dates</x:v>
      </x:c>
      <x:c r="G19" s="2" t="str">
        <x:v>Critical</x:v>
      </x:c>
      <x:c r="H19" s="2" t="str">
        <x:v>Select a public example</x:v>
      </x:c>
      <x:c r="I19" s="2" t="str">
        <x:v>Unknown</x:v>
      </x:c>
      <x:c r="J19" s="56" t="str"/>
      <x:c r="K19" s="58" t="str">
        <x:v>No</x:v>
      </x:c>
    </x:row>
    <x:row r="20">
      <x:c r="A20" s="55" t="str">
        <x:v>TC-16</x:v>
      </x:c>
      <x:c r="B20" s="2" t="str">
        <x:v>Foreign / CIS company</x:v>
      </x:c>
      <x:c r="C20" s="2" t="str">
        <x:v>Foreign company</x:v>
      </x:c>
      <x:c r="D20" s="2" t="str">
        <x:v>Registry ID</x:v>
      </x:c>
      <x:c r="E20" s="56" t="str"/>
      <x:c r="F20" s="2" t="str">
        <x:v>Coverage, transliteration, identifiers</x:v>
      </x:c>
      <x:c r="G20" s="2" t="str">
        <x:v>Medium</x:v>
      </x:c>
      <x:c r="H20" s="2" t="str">
        <x:v>Choose target market first</x:v>
      </x:c>
      <x:c r="I20" s="2" t="str">
        <x:v>Unknown</x:v>
      </x:c>
      <x:c r="J20" s="56" t="str"/>
      <x:c r="K20" s="58" t="str">
        <x:v>No</x:v>
      </x:c>
    </x:row>
    <x:row r="21">
      <x:c r="A21" s="55" t="str">
        <x:v>TC-17</x:v>
      </x:c>
      <x:c r="B21" s="2" t="str">
        <x:v>Ambiguous name search</x:v>
      </x:c>
      <x:c r="C21" s="2" t="str">
        <x:v>Legal entity</x:v>
      </x:c>
      <x:c r="D21" s="2" t="str">
        <x:v>Name</x:v>
      </x:c>
      <x:c r="E21" s="56" t="str"/>
      <x:c r="F21" s="2" t="str">
        <x:v>Ranking and disambiguation</x:v>
      </x:c>
      <x:c r="G21" s="2" t="str">
        <x:v>Medium</x:v>
      </x:c>
      <x:c r="H21" s="2" t="str">
        <x:v>Use a common company name</x:v>
      </x:c>
      <x:c r="I21" s="2" t="str">
        <x:v>Yes</x:v>
      </x:c>
      <x:c r="J21" s="56" t="str"/>
      <x:c r="K21" s="58" t="str">
        <x:v>No</x:v>
      </x:c>
    </x:row>
    <x:row r="22">
      <x:c r="A22" s="55" t="str">
        <x:v>TC-18</x:v>
      </x:c>
      <x:c r="B22" s="2" t="str">
        <x:v>Invalid identifier</x:v>
      </x:c>
      <x:c r="C22" s="2" t="str">
        <x:v>Unknown</x:v>
      </x:c>
      <x:c r="D22" s="2" t="str">
        <x:v>INN</x:v>
      </x:c>
      <x:c r="E22" s="56" t="str">
        <x:v>0000000000</x:v>
      </x:c>
      <x:c r="F22" s="2" t="str">
        <x:v>Validation and error quality</x:v>
      </x:c>
      <x:c r="G22" s="2" t="str">
        <x:v>High</x:v>
      </x:c>
      <x:c r="H22" s="2" t="str">
        <x:v>Synthetic invalid value</x:v>
      </x:c>
      <x:c r="I22" s="2" t="str">
        <x:v>Yes</x:v>
      </x:c>
      <x:c r="J22" s="56" t="str"/>
      <x:c r="K22" s="58" t="str">
        <x:v>Yes</x:v>
      </x:c>
    </x:row>
    <x:row r="23">
      <x:c r="A23" s="55" t="str">
        <x:v>TC-19</x:v>
      </x:c>
      <x:c r="B23" s="2" t="str">
        <x:v>Rate-limit behavior</x:v>
      </x:c>
      <x:c r="C23" s="2" t="str">
        <x:v>Legal entity</x:v>
      </x:c>
      <x:c r="D23" s="2" t="str">
        <x:v>INN</x:v>
      </x:c>
      <x:c r="E23" s="56" t="str">
        <x:v>7707083893</x:v>
      </x:c>
      <x:c r="F23" s="2" t="str">
        <x:v>429 behavior, headers, retry guidance</x:v>
      </x:c>
      <x:c r="G23" s="2" t="str">
        <x:v>Critical</x:v>
      </x:c>
      <x:c r="H23" s="2" t="str">
        <x:v>Use public identifier under authorized test</x:v>
      </x:c>
      <x:c r="I23" s="2" t="str">
        <x:v>Yes</x:v>
      </x:c>
      <x:c r="J23" s="56" t="str"/>
      <x:c r="K23" s="58" t="str">
        <x:v>Yes</x:v>
      </x:c>
    </x:row>
    <x:row r="24">
      <x:c r="A24" s="59" t="str">
        <x:v>TC-20</x:v>
      </x:c>
      <x:c r="B24" s="60" t="str">
        <x:v>Batch partial failure</x:v>
      </x:c>
      <x:c r="C24" s="60" t="str">
        <x:v>Mixed</x:v>
      </x:c>
      <x:c r="D24" s="60" t="str">
        <x:v>Batch INN list</x:v>
      </x:c>
      <x:c r="E24" s="61" t="str"/>
      <x:c r="F24" s="60" t="str">
        <x:v>Per-item error handling and billing</x:v>
      </x:c>
      <x:c r="G24" s="60" t="str">
        <x:v>Critical</x:v>
      </x:c>
      <x:c r="H24" s="60" t="str">
        <x:v>Use approved mixed public sample</x:v>
      </x:c>
      <x:c r="I24" s="60" t="str">
        <x:v>Unknown</x:v>
      </x:c>
      <x:c r="J24" s="61" t="str"/>
      <x:c r="K24" s="63" t="str">
        <x:v>No</x:v>
      </x:c>
    </x:row>
  </x:sheetData>
  <x:mergeCells>
    <x:mergeCell ref="A1:K1"/>
    <x:mergeCell ref="A2:K2"/>
  </x:mergeCells>
  <x:dataValidations count="3">
    <x:dataValidation type="list" sqref="G5:G24">
      <x:formula1>Lists!$C$2:$C$6</x:formula1>
    </x:dataValidation>
    <x:dataValidation type="list" sqref="I5:I24">
      <x:formula1>Lists!$E$2:$E$5</x:formula1>
    </x:dataValidation>
    <x:dataValidation type="list" sqref="K5:K24">
      <x:formula1>Lists!$E$2:$E$5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6ca266cb1a742a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13" hidden="0" customWidth="1"/>
    <x:col min="4" max="4" width="20" hidden="0" customWidth="1"/>
    <x:col min="5" max="5" width="12" hidden="0" customWidth="1"/>
    <x:col min="6" max="6" width="12" hidden="0" customWidth="1"/>
    <x:col min="7" max="7" width="15" hidden="0" customWidth="1"/>
    <x:col min="8" max="8" width="15" hidden="0" customWidth="1"/>
    <x:col min="9" max="9" width="13" hidden="0" customWidth="1"/>
    <x:col min="10" max="10" width="16" hidden="0" customWidth="1"/>
    <x:col min="11" max="11" width="18" hidden="0" customWidth="1"/>
    <x:col min="12" max="12" width="16" hidden="0" customWidth="1"/>
    <x:col min="13" max="13" width="35" hidden="0" customWidth="1"/>
    <x:col min="14" max="14" width="40" hidden="0" customWidth="1"/>
  </x:cols>
  <x:sheetData>
    <x:row r="1">
      <x:c r="A1" s="15" t="str">
        <x:v>Execution Results / Результаты тестов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</x:row>
    <x:row r="2">
      <x:c r="A2" s="22" t="str">
        <x:v>One row per provider and test case. Capture raw evidence externally and link it in the final column.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</x:row>
    <x:row r="4">
      <x:c r="A4" s="34" t="str">
        <x:v>Test ID</x:v>
      </x:c>
      <x:c r="B4" s="35" t="str">
        <x:v>Provider</x:v>
      </x:c>
      <x:c r="C4" s="35" t="str">
        <x:v>Run Date</x:v>
      </x:c>
      <x:c r="D4" s="35" t="str">
        <x:v>HTTP / Delivery Status</x:v>
      </x:c>
      <x:c r="E4" s="35" t="str">
        <x:v>Latency ms</x:v>
      </x:c>
      <x:c r="F4" s="35" t="str">
        <x:v>Result Count</x:v>
      </x:c>
      <x:c r="G4" s="35" t="str">
        <x:v>Required Fields %</x:v>
      </x:c>
      <x:c r="H4" s="35" t="str">
        <x:v>Match Accuracy 0-5</x:v>
      </x:c>
      <x:c r="I4" s="35" t="str">
        <x:v>Freshness 0-5</x:v>
      </x:c>
      <x:c r="J4" s="35" t="str">
        <x:v>Error Quality 0-5</x:v>
      </x:c>
      <x:c r="K4" s="35" t="str">
        <x:v>Data Date / Snapshot</x:v>
      </x:c>
      <x:c r="L4" s="35" t="str">
        <x:v>Cost Observed, RUB</x:v>
      </x:c>
      <x:c r="M4" s="35" t="str">
        <x:v>Notes</x:v>
      </x:c>
      <x:c r="N4" s="36" t="str">
        <x:v>Evidence URL / File</x:v>
      </x:c>
    </x:row>
    <x:row r="5">
      <x:c r="A5" s="55" t="str">
        <x:v>TC-01</x:v>
      </x:c>
      <x:c r="B5" s="2" t="str">
        <x:v>DaData</x:v>
      </x:c>
      <x:c r="C5" s="155"/>
      <x:c r="D5" s="56" t="str"/>
      <x:c r="E5" s="77"/>
      <x:c r="F5" s="77"/>
      <x:c r="G5" s="81"/>
      <x:c r="H5" s="56"/>
      <x:c r="I5" s="56"/>
      <x:c r="J5" s="56"/>
      <x:c r="K5" s="56" t="str"/>
      <x:c r="L5" s="73"/>
      <x:c r="M5" s="56" t="str"/>
      <x:c r="N5" s="58" t="str"/>
    </x:row>
    <x:row r="6">
      <x:c r="A6" s="55" t="str">
        <x:v>TC-01</x:v>
      </x:c>
      <x:c r="B6" s="2" t="str">
        <x:v>Kontur.Focus API</x:v>
      </x:c>
      <x:c r="C6" s="155"/>
      <x:c r="D6" s="56" t="str"/>
      <x:c r="E6" s="77"/>
      <x:c r="F6" s="77"/>
      <x:c r="G6" s="81"/>
      <x:c r="H6" s="56"/>
      <x:c r="I6" s="56"/>
      <x:c r="J6" s="56"/>
      <x:c r="K6" s="56" t="str"/>
      <x:c r="L6" s="73"/>
      <x:c r="M6" s="56" t="str"/>
      <x:c r="N6" s="58" t="str"/>
    </x:row>
    <x:row r="7">
      <x:c r="A7" s="55" t="str">
        <x:v>TC-01</x:v>
      </x:c>
      <x:c r="B7" s="2" t="str">
        <x:v>Seldon.Basis API</x:v>
      </x:c>
      <x:c r="C7" s="155"/>
      <x:c r="D7" s="56" t="str"/>
      <x:c r="E7" s="77"/>
      <x:c r="F7" s="77"/>
      <x:c r="G7" s="81"/>
      <x:c r="H7" s="56"/>
      <x:c r="I7" s="56"/>
      <x:c r="J7" s="56"/>
      <x:c r="K7" s="56" t="str"/>
      <x:c r="L7" s="73"/>
      <x:c r="M7" s="56" t="str"/>
      <x:c r="N7" s="58" t="str"/>
    </x:row>
    <x:row r="8">
      <x:c r="A8" s="55" t="str">
        <x:v>TC-01</x:v>
      </x:c>
      <x:c r="B8" s="2" t="str">
        <x:v>FTS EGRUL/EGRIP</x:v>
      </x:c>
      <x:c r="C8" s="155"/>
      <x:c r="D8" s="56" t="str"/>
      <x:c r="E8" s="77"/>
      <x:c r="F8" s="77"/>
      <x:c r="G8" s="81"/>
      <x:c r="H8" s="56"/>
      <x:c r="I8" s="56"/>
      <x:c r="J8" s="56"/>
      <x:c r="K8" s="56" t="str"/>
      <x:c r="L8" s="73"/>
      <x:c r="M8" s="56" t="str"/>
      <x:c r="N8" s="58" t="str"/>
    </x:row>
    <x:row r="9">
      <x:c r="A9" s="55" t="str">
        <x:v>TC-02</x:v>
      </x:c>
      <x:c r="B9" s="2" t="str">
        <x:v>DaData</x:v>
      </x:c>
      <x:c r="C9" s="155"/>
      <x:c r="D9" s="56" t="str"/>
      <x:c r="E9" s="77"/>
      <x:c r="F9" s="77"/>
      <x:c r="G9" s="81"/>
      <x:c r="H9" s="56"/>
      <x:c r="I9" s="56"/>
      <x:c r="J9" s="56"/>
      <x:c r="K9" s="56" t="str"/>
      <x:c r="L9" s="73"/>
      <x:c r="M9" s="56" t="str"/>
      <x:c r="N9" s="58" t="str"/>
    </x:row>
    <x:row r="10">
      <x:c r="A10" s="55" t="str">
        <x:v>TC-02</x:v>
      </x:c>
      <x:c r="B10" s="2" t="str">
        <x:v>Kontur.Focus API</x:v>
      </x:c>
      <x:c r="C10" s="155"/>
      <x:c r="D10" s="56" t="str"/>
      <x:c r="E10" s="77"/>
      <x:c r="F10" s="77"/>
      <x:c r="G10" s="81"/>
      <x:c r="H10" s="56"/>
      <x:c r="I10" s="56"/>
      <x:c r="J10" s="56"/>
      <x:c r="K10" s="56" t="str"/>
      <x:c r="L10" s="73"/>
      <x:c r="M10" s="56" t="str"/>
      <x:c r="N10" s="58" t="str"/>
    </x:row>
    <x:row r="11">
      <x:c r="A11" s="55" t="str">
        <x:v>TC-02</x:v>
      </x:c>
      <x:c r="B11" s="2" t="str">
        <x:v>Seldon.Basis API</x:v>
      </x:c>
      <x:c r="C11" s="155"/>
      <x:c r="D11" s="56" t="str"/>
      <x:c r="E11" s="77"/>
      <x:c r="F11" s="77"/>
      <x:c r="G11" s="81"/>
      <x:c r="H11" s="56"/>
      <x:c r="I11" s="56"/>
      <x:c r="J11" s="56"/>
      <x:c r="K11" s="56" t="str"/>
      <x:c r="L11" s="73"/>
      <x:c r="M11" s="56" t="str"/>
      <x:c r="N11" s="58" t="str"/>
    </x:row>
    <x:row r="12">
      <x:c r="A12" s="55" t="str">
        <x:v>TC-02</x:v>
      </x:c>
      <x:c r="B12" s="2" t="str">
        <x:v>FTS EGRUL/EGRIP</x:v>
      </x:c>
      <x:c r="C12" s="155"/>
      <x:c r="D12" s="56" t="str"/>
      <x:c r="E12" s="77"/>
      <x:c r="F12" s="77"/>
      <x:c r="G12" s="81"/>
      <x:c r="H12" s="56"/>
      <x:c r="I12" s="56"/>
      <x:c r="J12" s="56"/>
      <x:c r="K12" s="56" t="str"/>
      <x:c r="L12" s="73"/>
      <x:c r="M12" s="56" t="str"/>
      <x:c r="N12" s="58" t="str"/>
    </x:row>
    <x:row r="13">
      <x:c r="A13" s="55" t="str">
        <x:v>TC-03</x:v>
      </x:c>
      <x:c r="B13" s="2" t="str">
        <x:v>DaData</x:v>
      </x:c>
      <x:c r="C13" s="155"/>
      <x:c r="D13" s="56" t="str"/>
      <x:c r="E13" s="77"/>
      <x:c r="F13" s="77"/>
      <x:c r="G13" s="81"/>
      <x:c r="H13" s="56"/>
      <x:c r="I13" s="56"/>
      <x:c r="J13" s="56"/>
      <x:c r="K13" s="56" t="str"/>
      <x:c r="L13" s="73"/>
      <x:c r="M13" s="56" t="str"/>
      <x:c r="N13" s="58" t="str"/>
    </x:row>
    <x:row r="14">
      <x:c r="A14" s="55" t="str">
        <x:v>TC-03</x:v>
      </x:c>
      <x:c r="B14" s="2" t="str">
        <x:v>Kontur.Focus API</x:v>
      </x:c>
      <x:c r="C14" s="155"/>
      <x:c r="D14" s="56" t="str"/>
      <x:c r="E14" s="77"/>
      <x:c r="F14" s="77"/>
      <x:c r="G14" s="81"/>
      <x:c r="H14" s="56"/>
      <x:c r="I14" s="56"/>
      <x:c r="J14" s="56"/>
      <x:c r="K14" s="56" t="str"/>
      <x:c r="L14" s="73"/>
      <x:c r="M14" s="56" t="str"/>
      <x:c r="N14" s="58" t="str"/>
    </x:row>
    <x:row r="15">
      <x:c r="A15" s="55" t="str">
        <x:v>TC-03</x:v>
      </x:c>
      <x:c r="B15" s="2" t="str">
        <x:v>Seldon.Basis API</x:v>
      </x:c>
      <x:c r="C15" s="155"/>
      <x:c r="D15" s="56" t="str"/>
      <x:c r="E15" s="77"/>
      <x:c r="F15" s="77"/>
      <x:c r="G15" s="81"/>
      <x:c r="H15" s="56"/>
      <x:c r="I15" s="56"/>
      <x:c r="J15" s="56"/>
      <x:c r="K15" s="56" t="str"/>
      <x:c r="L15" s="73"/>
      <x:c r="M15" s="56" t="str"/>
      <x:c r="N15" s="58" t="str"/>
    </x:row>
    <x:row r="16">
      <x:c r="A16" s="55" t="str">
        <x:v>TC-03</x:v>
      </x:c>
      <x:c r="B16" s="2" t="str">
        <x:v>FTS EGRUL/EGRIP</x:v>
      </x:c>
      <x:c r="C16" s="155"/>
      <x:c r="D16" s="56" t="str"/>
      <x:c r="E16" s="77"/>
      <x:c r="F16" s="77"/>
      <x:c r="G16" s="81"/>
      <x:c r="H16" s="56"/>
      <x:c r="I16" s="56"/>
      <x:c r="J16" s="56"/>
      <x:c r="K16" s="56" t="str"/>
      <x:c r="L16" s="73"/>
      <x:c r="M16" s="56" t="str"/>
      <x:c r="N16" s="58" t="str"/>
    </x:row>
    <x:row r="17">
      <x:c r="A17" s="55" t="str">
        <x:v>TC-04</x:v>
      </x:c>
      <x:c r="B17" s="2" t="str">
        <x:v>DaData</x:v>
      </x:c>
      <x:c r="C17" s="155"/>
      <x:c r="D17" s="56" t="str"/>
      <x:c r="E17" s="77"/>
      <x:c r="F17" s="77"/>
      <x:c r="G17" s="81"/>
      <x:c r="H17" s="56"/>
      <x:c r="I17" s="56"/>
      <x:c r="J17" s="56"/>
      <x:c r="K17" s="56" t="str"/>
      <x:c r="L17" s="73"/>
      <x:c r="M17" s="56" t="str"/>
      <x:c r="N17" s="58" t="str"/>
    </x:row>
    <x:row r="18">
      <x:c r="A18" s="55" t="str">
        <x:v>TC-04</x:v>
      </x:c>
      <x:c r="B18" s="2" t="str">
        <x:v>Kontur.Focus API</x:v>
      </x:c>
      <x:c r="C18" s="155"/>
      <x:c r="D18" s="56" t="str"/>
      <x:c r="E18" s="77"/>
      <x:c r="F18" s="77"/>
      <x:c r="G18" s="81"/>
      <x:c r="H18" s="56"/>
      <x:c r="I18" s="56"/>
      <x:c r="J18" s="56"/>
      <x:c r="K18" s="56" t="str"/>
      <x:c r="L18" s="73"/>
      <x:c r="M18" s="56" t="str"/>
      <x:c r="N18" s="58" t="str"/>
    </x:row>
    <x:row r="19">
      <x:c r="A19" s="55" t="str">
        <x:v>TC-04</x:v>
      </x:c>
      <x:c r="B19" s="2" t="str">
        <x:v>Seldon.Basis API</x:v>
      </x:c>
      <x:c r="C19" s="155"/>
      <x:c r="D19" s="56" t="str"/>
      <x:c r="E19" s="77"/>
      <x:c r="F19" s="77"/>
      <x:c r="G19" s="81"/>
      <x:c r="H19" s="56"/>
      <x:c r="I19" s="56"/>
      <x:c r="J19" s="56"/>
      <x:c r="K19" s="56" t="str"/>
      <x:c r="L19" s="73"/>
      <x:c r="M19" s="56" t="str"/>
      <x:c r="N19" s="58" t="str"/>
    </x:row>
    <x:row r="20">
      <x:c r="A20" s="55" t="str">
        <x:v>TC-04</x:v>
      </x:c>
      <x:c r="B20" s="2" t="str">
        <x:v>FTS EGRUL/EGRIP</x:v>
      </x:c>
      <x:c r="C20" s="155"/>
      <x:c r="D20" s="56" t="str"/>
      <x:c r="E20" s="77"/>
      <x:c r="F20" s="77"/>
      <x:c r="G20" s="81"/>
      <x:c r="H20" s="56"/>
      <x:c r="I20" s="56"/>
      <x:c r="J20" s="56"/>
      <x:c r="K20" s="56" t="str"/>
      <x:c r="L20" s="73"/>
      <x:c r="M20" s="56" t="str"/>
      <x:c r="N20" s="58" t="str"/>
    </x:row>
    <x:row r="21">
      <x:c r="A21" s="55" t="str">
        <x:v>TC-05</x:v>
      </x:c>
      <x:c r="B21" s="2" t="str">
        <x:v>DaData</x:v>
      </x:c>
      <x:c r="C21" s="155"/>
      <x:c r="D21" s="56" t="str"/>
      <x:c r="E21" s="77"/>
      <x:c r="F21" s="77"/>
      <x:c r="G21" s="81"/>
      <x:c r="H21" s="56"/>
      <x:c r="I21" s="56"/>
      <x:c r="J21" s="56"/>
      <x:c r="K21" s="56" t="str"/>
      <x:c r="L21" s="73"/>
      <x:c r="M21" s="56" t="str"/>
      <x:c r="N21" s="58" t="str"/>
    </x:row>
    <x:row r="22">
      <x:c r="A22" s="55" t="str">
        <x:v>TC-05</x:v>
      </x:c>
      <x:c r="B22" s="2" t="str">
        <x:v>Kontur.Focus API</x:v>
      </x:c>
      <x:c r="C22" s="155"/>
      <x:c r="D22" s="56" t="str"/>
      <x:c r="E22" s="77"/>
      <x:c r="F22" s="77"/>
      <x:c r="G22" s="81"/>
      <x:c r="H22" s="56"/>
      <x:c r="I22" s="56"/>
      <x:c r="J22" s="56"/>
      <x:c r="K22" s="56" t="str"/>
      <x:c r="L22" s="73"/>
      <x:c r="M22" s="56" t="str"/>
      <x:c r="N22" s="58" t="str"/>
    </x:row>
    <x:row r="23">
      <x:c r="A23" s="55" t="str">
        <x:v>TC-05</x:v>
      </x:c>
      <x:c r="B23" s="2" t="str">
        <x:v>Seldon.Basis API</x:v>
      </x:c>
      <x:c r="C23" s="155"/>
      <x:c r="D23" s="56" t="str"/>
      <x:c r="E23" s="77"/>
      <x:c r="F23" s="77"/>
      <x:c r="G23" s="81"/>
      <x:c r="H23" s="56"/>
      <x:c r="I23" s="56"/>
      <x:c r="J23" s="56"/>
      <x:c r="K23" s="56" t="str"/>
      <x:c r="L23" s="73"/>
      <x:c r="M23" s="56" t="str"/>
      <x:c r="N23" s="58" t="str"/>
    </x:row>
    <x:row r="24">
      <x:c r="A24" s="55" t="str">
        <x:v>TC-05</x:v>
      </x:c>
      <x:c r="B24" s="2" t="str">
        <x:v>FTS EGRUL/EGRIP</x:v>
      </x:c>
      <x:c r="C24" s="155"/>
      <x:c r="D24" s="56" t="str"/>
      <x:c r="E24" s="77"/>
      <x:c r="F24" s="77"/>
      <x:c r="G24" s="81"/>
      <x:c r="H24" s="56"/>
      <x:c r="I24" s="56"/>
      <x:c r="J24" s="56"/>
      <x:c r="K24" s="56" t="str"/>
      <x:c r="L24" s="73"/>
      <x:c r="M24" s="56" t="str"/>
      <x:c r="N24" s="58" t="str"/>
    </x:row>
    <x:row r="25">
      <x:c r="A25" s="55" t="str">
        <x:v>TC-06</x:v>
      </x:c>
      <x:c r="B25" s="2" t="str">
        <x:v>DaData</x:v>
      </x:c>
      <x:c r="C25" s="155"/>
      <x:c r="D25" s="56" t="str"/>
      <x:c r="E25" s="77"/>
      <x:c r="F25" s="77"/>
      <x:c r="G25" s="81"/>
      <x:c r="H25" s="56"/>
      <x:c r="I25" s="56"/>
      <x:c r="J25" s="56"/>
      <x:c r="K25" s="56" t="str"/>
      <x:c r="L25" s="73"/>
      <x:c r="M25" s="56" t="str"/>
      <x:c r="N25" s="58" t="str"/>
    </x:row>
    <x:row r="26">
      <x:c r="A26" s="55" t="str">
        <x:v>TC-06</x:v>
      </x:c>
      <x:c r="B26" s="2" t="str">
        <x:v>Kontur.Focus API</x:v>
      </x:c>
      <x:c r="C26" s="155"/>
      <x:c r="D26" s="56" t="str"/>
      <x:c r="E26" s="77"/>
      <x:c r="F26" s="77"/>
      <x:c r="G26" s="81"/>
      <x:c r="H26" s="56"/>
      <x:c r="I26" s="56"/>
      <x:c r="J26" s="56"/>
      <x:c r="K26" s="56" t="str"/>
      <x:c r="L26" s="73"/>
      <x:c r="M26" s="56" t="str"/>
      <x:c r="N26" s="58" t="str"/>
    </x:row>
    <x:row r="27">
      <x:c r="A27" s="55" t="str">
        <x:v>TC-06</x:v>
      </x:c>
      <x:c r="B27" s="2" t="str">
        <x:v>Seldon.Basis API</x:v>
      </x:c>
      <x:c r="C27" s="155"/>
      <x:c r="D27" s="56" t="str"/>
      <x:c r="E27" s="77"/>
      <x:c r="F27" s="77"/>
      <x:c r="G27" s="81"/>
      <x:c r="H27" s="56"/>
      <x:c r="I27" s="56"/>
      <x:c r="J27" s="56"/>
      <x:c r="K27" s="56" t="str"/>
      <x:c r="L27" s="73"/>
      <x:c r="M27" s="56" t="str"/>
      <x:c r="N27" s="58" t="str"/>
    </x:row>
    <x:row r="28">
      <x:c r="A28" s="55" t="str">
        <x:v>TC-06</x:v>
      </x:c>
      <x:c r="B28" s="2" t="str">
        <x:v>FTS EGRUL/EGRIP</x:v>
      </x:c>
      <x:c r="C28" s="155"/>
      <x:c r="D28" s="56" t="str"/>
      <x:c r="E28" s="77"/>
      <x:c r="F28" s="77"/>
      <x:c r="G28" s="81"/>
      <x:c r="H28" s="56"/>
      <x:c r="I28" s="56"/>
      <x:c r="J28" s="56"/>
      <x:c r="K28" s="56" t="str"/>
      <x:c r="L28" s="73"/>
      <x:c r="M28" s="56" t="str"/>
      <x:c r="N28" s="58" t="str"/>
    </x:row>
    <x:row r="29">
      <x:c r="A29" s="55" t="str">
        <x:v>TC-07</x:v>
      </x:c>
      <x:c r="B29" s="2" t="str">
        <x:v>DaData</x:v>
      </x:c>
      <x:c r="C29" s="155"/>
      <x:c r="D29" s="56" t="str"/>
      <x:c r="E29" s="77"/>
      <x:c r="F29" s="77"/>
      <x:c r="G29" s="81"/>
      <x:c r="H29" s="56"/>
      <x:c r="I29" s="56"/>
      <x:c r="J29" s="56"/>
      <x:c r="K29" s="56" t="str"/>
      <x:c r="L29" s="73"/>
      <x:c r="M29" s="56" t="str"/>
      <x:c r="N29" s="58" t="str"/>
    </x:row>
    <x:row r="30">
      <x:c r="A30" s="55" t="str">
        <x:v>TC-07</x:v>
      </x:c>
      <x:c r="B30" s="2" t="str">
        <x:v>Kontur.Focus API</x:v>
      </x:c>
      <x:c r="C30" s="155"/>
      <x:c r="D30" s="56" t="str"/>
      <x:c r="E30" s="77"/>
      <x:c r="F30" s="77"/>
      <x:c r="G30" s="81"/>
      <x:c r="H30" s="56"/>
      <x:c r="I30" s="56"/>
      <x:c r="J30" s="56"/>
      <x:c r="K30" s="56" t="str"/>
      <x:c r="L30" s="73"/>
      <x:c r="M30" s="56" t="str"/>
      <x:c r="N30" s="58" t="str"/>
    </x:row>
    <x:row r="31">
      <x:c r="A31" s="55" t="str">
        <x:v>TC-07</x:v>
      </x:c>
      <x:c r="B31" s="2" t="str">
        <x:v>Seldon.Basis API</x:v>
      </x:c>
      <x:c r="C31" s="155"/>
      <x:c r="D31" s="56" t="str"/>
      <x:c r="E31" s="77"/>
      <x:c r="F31" s="77"/>
      <x:c r="G31" s="81"/>
      <x:c r="H31" s="56"/>
      <x:c r="I31" s="56"/>
      <x:c r="J31" s="56"/>
      <x:c r="K31" s="56" t="str"/>
      <x:c r="L31" s="73"/>
      <x:c r="M31" s="56" t="str"/>
      <x:c r="N31" s="58" t="str"/>
    </x:row>
    <x:row r="32">
      <x:c r="A32" s="55" t="str">
        <x:v>TC-07</x:v>
      </x:c>
      <x:c r="B32" s="2" t="str">
        <x:v>FTS EGRUL/EGRIP</x:v>
      </x:c>
      <x:c r="C32" s="155"/>
      <x:c r="D32" s="56" t="str"/>
      <x:c r="E32" s="77"/>
      <x:c r="F32" s="77"/>
      <x:c r="G32" s="81"/>
      <x:c r="H32" s="56"/>
      <x:c r="I32" s="56"/>
      <x:c r="J32" s="56"/>
      <x:c r="K32" s="56" t="str"/>
      <x:c r="L32" s="73"/>
      <x:c r="M32" s="56" t="str"/>
      <x:c r="N32" s="58" t="str"/>
    </x:row>
    <x:row r="33">
      <x:c r="A33" s="55" t="str">
        <x:v>TC-08</x:v>
      </x:c>
      <x:c r="B33" s="2" t="str">
        <x:v>DaData</x:v>
      </x:c>
      <x:c r="C33" s="155"/>
      <x:c r="D33" s="56" t="str"/>
      <x:c r="E33" s="77"/>
      <x:c r="F33" s="77"/>
      <x:c r="G33" s="81"/>
      <x:c r="H33" s="56"/>
      <x:c r="I33" s="56"/>
      <x:c r="J33" s="56"/>
      <x:c r="K33" s="56" t="str"/>
      <x:c r="L33" s="73"/>
      <x:c r="M33" s="56" t="str"/>
      <x:c r="N33" s="58" t="str"/>
    </x:row>
    <x:row r="34">
      <x:c r="A34" s="55" t="str">
        <x:v>TC-08</x:v>
      </x:c>
      <x:c r="B34" s="2" t="str">
        <x:v>Kontur.Focus API</x:v>
      </x:c>
      <x:c r="C34" s="155"/>
      <x:c r="D34" s="56" t="str"/>
      <x:c r="E34" s="77"/>
      <x:c r="F34" s="77"/>
      <x:c r="G34" s="81"/>
      <x:c r="H34" s="56"/>
      <x:c r="I34" s="56"/>
      <x:c r="J34" s="56"/>
      <x:c r="K34" s="56" t="str"/>
      <x:c r="L34" s="73"/>
      <x:c r="M34" s="56" t="str"/>
      <x:c r="N34" s="58" t="str"/>
    </x:row>
    <x:row r="35">
      <x:c r="A35" s="55" t="str">
        <x:v>TC-08</x:v>
      </x:c>
      <x:c r="B35" s="2" t="str">
        <x:v>Seldon.Basis API</x:v>
      </x:c>
      <x:c r="C35" s="155"/>
      <x:c r="D35" s="56" t="str"/>
      <x:c r="E35" s="77"/>
      <x:c r="F35" s="77"/>
      <x:c r="G35" s="81"/>
      <x:c r="H35" s="56"/>
      <x:c r="I35" s="56"/>
      <x:c r="J35" s="56"/>
      <x:c r="K35" s="56" t="str"/>
      <x:c r="L35" s="73"/>
      <x:c r="M35" s="56" t="str"/>
      <x:c r="N35" s="58" t="str"/>
    </x:row>
    <x:row r="36">
      <x:c r="A36" s="55" t="str">
        <x:v>TC-08</x:v>
      </x:c>
      <x:c r="B36" s="2" t="str">
        <x:v>FTS EGRUL/EGRIP</x:v>
      </x:c>
      <x:c r="C36" s="155"/>
      <x:c r="D36" s="56" t="str"/>
      <x:c r="E36" s="77"/>
      <x:c r="F36" s="77"/>
      <x:c r="G36" s="81"/>
      <x:c r="H36" s="56"/>
      <x:c r="I36" s="56"/>
      <x:c r="J36" s="56"/>
      <x:c r="K36" s="56" t="str"/>
      <x:c r="L36" s="73"/>
      <x:c r="M36" s="56" t="str"/>
      <x:c r="N36" s="58" t="str"/>
    </x:row>
    <x:row r="37">
      <x:c r="A37" s="55" t="str">
        <x:v>TC-09</x:v>
      </x:c>
      <x:c r="B37" s="2" t="str">
        <x:v>DaData</x:v>
      </x:c>
      <x:c r="C37" s="155"/>
      <x:c r="D37" s="56" t="str"/>
      <x:c r="E37" s="77"/>
      <x:c r="F37" s="77"/>
      <x:c r="G37" s="81"/>
      <x:c r="H37" s="56"/>
      <x:c r="I37" s="56"/>
      <x:c r="J37" s="56"/>
      <x:c r="K37" s="56" t="str"/>
      <x:c r="L37" s="73"/>
      <x:c r="M37" s="56" t="str"/>
      <x:c r="N37" s="58" t="str"/>
    </x:row>
    <x:row r="38">
      <x:c r="A38" s="55" t="str">
        <x:v>TC-09</x:v>
      </x:c>
      <x:c r="B38" s="2" t="str">
        <x:v>Kontur.Focus API</x:v>
      </x:c>
      <x:c r="C38" s="155"/>
      <x:c r="D38" s="56" t="str"/>
      <x:c r="E38" s="77"/>
      <x:c r="F38" s="77"/>
      <x:c r="G38" s="81"/>
      <x:c r="H38" s="56"/>
      <x:c r="I38" s="56"/>
      <x:c r="J38" s="56"/>
      <x:c r="K38" s="56" t="str"/>
      <x:c r="L38" s="73"/>
      <x:c r="M38" s="56" t="str"/>
      <x:c r="N38" s="58" t="str"/>
    </x:row>
    <x:row r="39">
      <x:c r="A39" s="55" t="str">
        <x:v>TC-09</x:v>
      </x:c>
      <x:c r="B39" s="2" t="str">
        <x:v>Seldon.Basis API</x:v>
      </x:c>
      <x:c r="C39" s="155"/>
      <x:c r="D39" s="56" t="str"/>
      <x:c r="E39" s="77"/>
      <x:c r="F39" s="77"/>
      <x:c r="G39" s="81"/>
      <x:c r="H39" s="56"/>
      <x:c r="I39" s="56"/>
      <x:c r="J39" s="56"/>
      <x:c r="K39" s="56" t="str"/>
      <x:c r="L39" s="73"/>
      <x:c r="M39" s="56" t="str"/>
      <x:c r="N39" s="58" t="str"/>
    </x:row>
    <x:row r="40">
      <x:c r="A40" s="55" t="str">
        <x:v>TC-09</x:v>
      </x:c>
      <x:c r="B40" s="2" t="str">
        <x:v>FTS EGRUL/EGRIP</x:v>
      </x:c>
      <x:c r="C40" s="155"/>
      <x:c r="D40" s="56" t="str"/>
      <x:c r="E40" s="77"/>
      <x:c r="F40" s="77"/>
      <x:c r="G40" s="81"/>
      <x:c r="H40" s="56"/>
      <x:c r="I40" s="56"/>
      <x:c r="J40" s="56"/>
      <x:c r="K40" s="56" t="str"/>
      <x:c r="L40" s="73"/>
      <x:c r="M40" s="56" t="str"/>
      <x:c r="N40" s="58" t="str"/>
    </x:row>
    <x:row r="41">
      <x:c r="A41" s="55" t="str">
        <x:v>TC-10</x:v>
      </x:c>
      <x:c r="B41" s="2" t="str">
        <x:v>DaData</x:v>
      </x:c>
      <x:c r="C41" s="155"/>
      <x:c r="D41" s="56" t="str"/>
      <x:c r="E41" s="77"/>
      <x:c r="F41" s="77"/>
      <x:c r="G41" s="81"/>
      <x:c r="H41" s="56"/>
      <x:c r="I41" s="56"/>
      <x:c r="J41" s="56"/>
      <x:c r="K41" s="56" t="str"/>
      <x:c r="L41" s="73"/>
      <x:c r="M41" s="56" t="str"/>
      <x:c r="N41" s="58" t="str"/>
    </x:row>
    <x:row r="42">
      <x:c r="A42" s="55" t="str">
        <x:v>TC-10</x:v>
      </x:c>
      <x:c r="B42" s="2" t="str">
        <x:v>Kontur.Focus API</x:v>
      </x:c>
      <x:c r="C42" s="155"/>
      <x:c r="D42" s="56" t="str"/>
      <x:c r="E42" s="77"/>
      <x:c r="F42" s="77"/>
      <x:c r="G42" s="81"/>
      <x:c r="H42" s="56"/>
      <x:c r="I42" s="56"/>
      <x:c r="J42" s="56"/>
      <x:c r="K42" s="56" t="str"/>
      <x:c r="L42" s="73"/>
      <x:c r="M42" s="56" t="str"/>
      <x:c r="N42" s="58" t="str"/>
    </x:row>
    <x:row r="43">
      <x:c r="A43" s="55" t="str">
        <x:v>TC-10</x:v>
      </x:c>
      <x:c r="B43" s="2" t="str">
        <x:v>Seldon.Basis API</x:v>
      </x:c>
      <x:c r="C43" s="155"/>
      <x:c r="D43" s="56" t="str"/>
      <x:c r="E43" s="77"/>
      <x:c r="F43" s="77"/>
      <x:c r="G43" s="81"/>
      <x:c r="H43" s="56"/>
      <x:c r="I43" s="56"/>
      <x:c r="J43" s="56"/>
      <x:c r="K43" s="56" t="str"/>
      <x:c r="L43" s="73"/>
      <x:c r="M43" s="56" t="str"/>
      <x:c r="N43" s="58" t="str"/>
    </x:row>
    <x:row r="44">
      <x:c r="A44" s="55" t="str">
        <x:v>TC-10</x:v>
      </x:c>
      <x:c r="B44" s="2" t="str">
        <x:v>FTS EGRUL/EGRIP</x:v>
      </x:c>
      <x:c r="C44" s="155"/>
      <x:c r="D44" s="56" t="str"/>
      <x:c r="E44" s="77"/>
      <x:c r="F44" s="77"/>
      <x:c r="G44" s="81"/>
      <x:c r="H44" s="56"/>
      <x:c r="I44" s="56"/>
      <x:c r="J44" s="56"/>
      <x:c r="K44" s="56" t="str"/>
      <x:c r="L44" s="73"/>
      <x:c r="M44" s="56" t="str"/>
      <x:c r="N44" s="58" t="str"/>
    </x:row>
    <x:row r="45">
      <x:c r="A45" s="55" t="str">
        <x:v>TC-11</x:v>
      </x:c>
      <x:c r="B45" s="2" t="str">
        <x:v>DaData</x:v>
      </x:c>
      <x:c r="C45" s="155"/>
      <x:c r="D45" s="56" t="str"/>
      <x:c r="E45" s="77"/>
      <x:c r="F45" s="77"/>
      <x:c r="G45" s="81"/>
      <x:c r="H45" s="56"/>
      <x:c r="I45" s="56"/>
      <x:c r="J45" s="56"/>
      <x:c r="K45" s="56" t="str"/>
      <x:c r="L45" s="73"/>
      <x:c r="M45" s="56" t="str"/>
      <x:c r="N45" s="58" t="str"/>
    </x:row>
    <x:row r="46">
      <x:c r="A46" s="55" t="str">
        <x:v>TC-11</x:v>
      </x:c>
      <x:c r="B46" s="2" t="str">
        <x:v>Kontur.Focus API</x:v>
      </x:c>
      <x:c r="C46" s="155"/>
      <x:c r="D46" s="56" t="str"/>
      <x:c r="E46" s="77"/>
      <x:c r="F46" s="77"/>
      <x:c r="G46" s="81"/>
      <x:c r="H46" s="56"/>
      <x:c r="I46" s="56"/>
      <x:c r="J46" s="56"/>
      <x:c r="K46" s="56" t="str"/>
      <x:c r="L46" s="73"/>
      <x:c r="M46" s="56" t="str"/>
      <x:c r="N46" s="58" t="str"/>
    </x:row>
    <x:row r="47">
      <x:c r="A47" s="55" t="str">
        <x:v>TC-11</x:v>
      </x:c>
      <x:c r="B47" s="2" t="str">
        <x:v>Seldon.Basis API</x:v>
      </x:c>
      <x:c r="C47" s="155"/>
      <x:c r="D47" s="56" t="str"/>
      <x:c r="E47" s="77"/>
      <x:c r="F47" s="77"/>
      <x:c r="G47" s="81"/>
      <x:c r="H47" s="56"/>
      <x:c r="I47" s="56"/>
      <x:c r="J47" s="56"/>
      <x:c r="K47" s="56" t="str"/>
      <x:c r="L47" s="73"/>
      <x:c r="M47" s="56" t="str"/>
      <x:c r="N47" s="58" t="str"/>
    </x:row>
    <x:row r="48">
      <x:c r="A48" s="55" t="str">
        <x:v>TC-11</x:v>
      </x:c>
      <x:c r="B48" s="2" t="str">
        <x:v>FTS EGRUL/EGRIP</x:v>
      </x:c>
      <x:c r="C48" s="155"/>
      <x:c r="D48" s="56" t="str"/>
      <x:c r="E48" s="77"/>
      <x:c r="F48" s="77"/>
      <x:c r="G48" s="81"/>
      <x:c r="H48" s="56"/>
      <x:c r="I48" s="56"/>
      <x:c r="J48" s="56"/>
      <x:c r="K48" s="56" t="str"/>
      <x:c r="L48" s="73"/>
      <x:c r="M48" s="56" t="str"/>
      <x:c r="N48" s="58" t="str"/>
    </x:row>
    <x:row r="49">
      <x:c r="A49" s="55" t="str">
        <x:v>TC-12</x:v>
      </x:c>
      <x:c r="B49" s="2" t="str">
        <x:v>DaData</x:v>
      </x:c>
      <x:c r="C49" s="155"/>
      <x:c r="D49" s="56" t="str"/>
      <x:c r="E49" s="77"/>
      <x:c r="F49" s="77"/>
      <x:c r="G49" s="81"/>
      <x:c r="H49" s="56"/>
      <x:c r="I49" s="56"/>
      <x:c r="J49" s="56"/>
      <x:c r="K49" s="56" t="str"/>
      <x:c r="L49" s="73"/>
      <x:c r="M49" s="56" t="str"/>
      <x:c r="N49" s="58" t="str"/>
    </x:row>
    <x:row r="50">
      <x:c r="A50" s="55" t="str">
        <x:v>TC-12</x:v>
      </x:c>
      <x:c r="B50" s="2" t="str">
        <x:v>Kontur.Focus API</x:v>
      </x:c>
      <x:c r="C50" s="155"/>
      <x:c r="D50" s="56" t="str"/>
      <x:c r="E50" s="77"/>
      <x:c r="F50" s="77"/>
      <x:c r="G50" s="81"/>
      <x:c r="H50" s="56"/>
      <x:c r="I50" s="56"/>
      <x:c r="J50" s="56"/>
      <x:c r="K50" s="56" t="str"/>
      <x:c r="L50" s="73"/>
      <x:c r="M50" s="56" t="str"/>
      <x:c r="N50" s="58" t="str"/>
    </x:row>
    <x:row r="51">
      <x:c r="A51" s="55" t="str">
        <x:v>TC-12</x:v>
      </x:c>
      <x:c r="B51" s="2" t="str">
        <x:v>Seldon.Basis API</x:v>
      </x:c>
      <x:c r="C51" s="155"/>
      <x:c r="D51" s="56" t="str"/>
      <x:c r="E51" s="77"/>
      <x:c r="F51" s="77"/>
      <x:c r="G51" s="81"/>
      <x:c r="H51" s="56"/>
      <x:c r="I51" s="56"/>
      <x:c r="J51" s="56"/>
      <x:c r="K51" s="56" t="str"/>
      <x:c r="L51" s="73"/>
      <x:c r="M51" s="56" t="str"/>
      <x:c r="N51" s="58" t="str"/>
    </x:row>
    <x:row r="52">
      <x:c r="A52" s="55" t="str">
        <x:v>TC-12</x:v>
      </x:c>
      <x:c r="B52" s="2" t="str">
        <x:v>FTS EGRUL/EGRIP</x:v>
      </x:c>
      <x:c r="C52" s="155"/>
      <x:c r="D52" s="56" t="str"/>
      <x:c r="E52" s="77"/>
      <x:c r="F52" s="77"/>
      <x:c r="G52" s="81"/>
      <x:c r="H52" s="56"/>
      <x:c r="I52" s="56"/>
      <x:c r="J52" s="56"/>
      <x:c r="K52" s="56" t="str"/>
      <x:c r="L52" s="73"/>
      <x:c r="M52" s="56" t="str"/>
      <x:c r="N52" s="58" t="str"/>
    </x:row>
    <x:row r="53">
      <x:c r="A53" s="55" t="str">
        <x:v>TC-13</x:v>
      </x:c>
      <x:c r="B53" s="2" t="str">
        <x:v>DaData</x:v>
      </x:c>
      <x:c r="C53" s="155"/>
      <x:c r="D53" s="56" t="str"/>
      <x:c r="E53" s="77"/>
      <x:c r="F53" s="77"/>
      <x:c r="G53" s="81"/>
      <x:c r="H53" s="56"/>
      <x:c r="I53" s="56"/>
      <x:c r="J53" s="56"/>
      <x:c r="K53" s="56" t="str"/>
      <x:c r="L53" s="73"/>
      <x:c r="M53" s="56" t="str"/>
      <x:c r="N53" s="58" t="str"/>
    </x:row>
    <x:row r="54">
      <x:c r="A54" s="55" t="str">
        <x:v>TC-13</x:v>
      </x:c>
      <x:c r="B54" s="2" t="str">
        <x:v>Kontur.Focus API</x:v>
      </x:c>
      <x:c r="C54" s="155"/>
      <x:c r="D54" s="56" t="str"/>
      <x:c r="E54" s="77"/>
      <x:c r="F54" s="77"/>
      <x:c r="G54" s="81"/>
      <x:c r="H54" s="56"/>
      <x:c r="I54" s="56"/>
      <x:c r="J54" s="56"/>
      <x:c r="K54" s="56" t="str"/>
      <x:c r="L54" s="73"/>
      <x:c r="M54" s="56" t="str"/>
      <x:c r="N54" s="58" t="str"/>
    </x:row>
    <x:row r="55">
      <x:c r="A55" s="55" t="str">
        <x:v>TC-13</x:v>
      </x:c>
      <x:c r="B55" s="2" t="str">
        <x:v>Seldon.Basis API</x:v>
      </x:c>
      <x:c r="C55" s="155"/>
      <x:c r="D55" s="56" t="str"/>
      <x:c r="E55" s="77"/>
      <x:c r="F55" s="77"/>
      <x:c r="G55" s="81"/>
      <x:c r="H55" s="56"/>
      <x:c r="I55" s="56"/>
      <x:c r="J55" s="56"/>
      <x:c r="K55" s="56" t="str"/>
      <x:c r="L55" s="73"/>
      <x:c r="M55" s="56" t="str"/>
      <x:c r="N55" s="58" t="str"/>
    </x:row>
    <x:row r="56">
      <x:c r="A56" s="55" t="str">
        <x:v>TC-13</x:v>
      </x:c>
      <x:c r="B56" s="2" t="str">
        <x:v>FTS EGRUL/EGRIP</x:v>
      </x:c>
      <x:c r="C56" s="155"/>
      <x:c r="D56" s="56" t="str"/>
      <x:c r="E56" s="77"/>
      <x:c r="F56" s="77"/>
      <x:c r="G56" s="81"/>
      <x:c r="H56" s="56"/>
      <x:c r="I56" s="56"/>
      <x:c r="J56" s="56"/>
      <x:c r="K56" s="56" t="str"/>
      <x:c r="L56" s="73"/>
      <x:c r="M56" s="56" t="str"/>
      <x:c r="N56" s="58" t="str"/>
    </x:row>
    <x:row r="57">
      <x:c r="A57" s="55" t="str">
        <x:v>TC-14</x:v>
      </x:c>
      <x:c r="B57" s="2" t="str">
        <x:v>DaData</x:v>
      </x:c>
      <x:c r="C57" s="155"/>
      <x:c r="D57" s="56" t="str"/>
      <x:c r="E57" s="77"/>
      <x:c r="F57" s="77"/>
      <x:c r="G57" s="81"/>
      <x:c r="H57" s="56"/>
      <x:c r="I57" s="56"/>
      <x:c r="J57" s="56"/>
      <x:c r="K57" s="56" t="str"/>
      <x:c r="L57" s="73"/>
      <x:c r="M57" s="56" t="str"/>
      <x:c r="N57" s="58" t="str"/>
    </x:row>
    <x:row r="58">
      <x:c r="A58" s="55" t="str">
        <x:v>TC-14</x:v>
      </x:c>
      <x:c r="B58" s="2" t="str">
        <x:v>Kontur.Focus API</x:v>
      </x:c>
      <x:c r="C58" s="155"/>
      <x:c r="D58" s="56" t="str"/>
      <x:c r="E58" s="77"/>
      <x:c r="F58" s="77"/>
      <x:c r="G58" s="81"/>
      <x:c r="H58" s="56"/>
      <x:c r="I58" s="56"/>
      <x:c r="J58" s="56"/>
      <x:c r="K58" s="56" t="str"/>
      <x:c r="L58" s="73"/>
      <x:c r="M58" s="56" t="str"/>
      <x:c r="N58" s="58" t="str"/>
    </x:row>
    <x:row r="59">
      <x:c r="A59" s="55" t="str">
        <x:v>TC-14</x:v>
      </x:c>
      <x:c r="B59" s="2" t="str">
        <x:v>Seldon.Basis API</x:v>
      </x:c>
      <x:c r="C59" s="155"/>
      <x:c r="D59" s="56" t="str"/>
      <x:c r="E59" s="77"/>
      <x:c r="F59" s="77"/>
      <x:c r="G59" s="81"/>
      <x:c r="H59" s="56"/>
      <x:c r="I59" s="56"/>
      <x:c r="J59" s="56"/>
      <x:c r="K59" s="56" t="str"/>
      <x:c r="L59" s="73"/>
      <x:c r="M59" s="56" t="str"/>
      <x:c r="N59" s="58" t="str"/>
    </x:row>
    <x:row r="60">
      <x:c r="A60" s="55" t="str">
        <x:v>TC-14</x:v>
      </x:c>
      <x:c r="B60" s="2" t="str">
        <x:v>FTS EGRUL/EGRIP</x:v>
      </x:c>
      <x:c r="C60" s="155"/>
      <x:c r="D60" s="56" t="str"/>
      <x:c r="E60" s="77"/>
      <x:c r="F60" s="77"/>
      <x:c r="G60" s="81"/>
      <x:c r="H60" s="56"/>
      <x:c r="I60" s="56"/>
      <x:c r="J60" s="56"/>
      <x:c r="K60" s="56" t="str"/>
      <x:c r="L60" s="73"/>
      <x:c r="M60" s="56" t="str"/>
      <x:c r="N60" s="58" t="str"/>
    </x:row>
    <x:row r="61">
      <x:c r="A61" s="55" t="str">
        <x:v>TC-15</x:v>
      </x:c>
      <x:c r="B61" s="2" t="str">
        <x:v>DaData</x:v>
      </x:c>
      <x:c r="C61" s="155"/>
      <x:c r="D61" s="56" t="str"/>
      <x:c r="E61" s="77"/>
      <x:c r="F61" s="77"/>
      <x:c r="G61" s="81"/>
      <x:c r="H61" s="56"/>
      <x:c r="I61" s="56"/>
      <x:c r="J61" s="56"/>
      <x:c r="K61" s="56" t="str"/>
      <x:c r="L61" s="73"/>
      <x:c r="M61" s="56" t="str"/>
      <x:c r="N61" s="58" t="str"/>
    </x:row>
    <x:row r="62">
      <x:c r="A62" s="55" t="str">
        <x:v>TC-15</x:v>
      </x:c>
      <x:c r="B62" s="2" t="str">
        <x:v>Kontur.Focus API</x:v>
      </x:c>
      <x:c r="C62" s="155"/>
      <x:c r="D62" s="56" t="str"/>
      <x:c r="E62" s="77"/>
      <x:c r="F62" s="77"/>
      <x:c r="G62" s="81"/>
      <x:c r="H62" s="56"/>
      <x:c r="I62" s="56"/>
      <x:c r="J62" s="56"/>
      <x:c r="K62" s="56" t="str"/>
      <x:c r="L62" s="73"/>
      <x:c r="M62" s="56" t="str"/>
      <x:c r="N62" s="58" t="str"/>
    </x:row>
    <x:row r="63">
      <x:c r="A63" s="55" t="str">
        <x:v>TC-15</x:v>
      </x:c>
      <x:c r="B63" s="2" t="str">
        <x:v>Seldon.Basis API</x:v>
      </x:c>
      <x:c r="C63" s="155"/>
      <x:c r="D63" s="56" t="str"/>
      <x:c r="E63" s="77"/>
      <x:c r="F63" s="77"/>
      <x:c r="G63" s="81"/>
      <x:c r="H63" s="56"/>
      <x:c r="I63" s="56"/>
      <x:c r="J63" s="56"/>
      <x:c r="K63" s="56" t="str"/>
      <x:c r="L63" s="73"/>
      <x:c r="M63" s="56" t="str"/>
      <x:c r="N63" s="58" t="str"/>
    </x:row>
    <x:row r="64">
      <x:c r="A64" s="55" t="str">
        <x:v>TC-15</x:v>
      </x:c>
      <x:c r="B64" s="2" t="str">
        <x:v>FTS EGRUL/EGRIP</x:v>
      </x:c>
      <x:c r="C64" s="155"/>
      <x:c r="D64" s="56" t="str"/>
      <x:c r="E64" s="77"/>
      <x:c r="F64" s="77"/>
      <x:c r="G64" s="81"/>
      <x:c r="H64" s="56"/>
      <x:c r="I64" s="56"/>
      <x:c r="J64" s="56"/>
      <x:c r="K64" s="56" t="str"/>
      <x:c r="L64" s="73"/>
      <x:c r="M64" s="56" t="str"/>
      <x:c r="N64" s="58" t="str"/>
    </x:row>
    <x:row r="65">
      <x:c r="A65" s="55" t="str">
        <x:v>TC-16</x:v>
      </x:c>
      <x:c r="B65" s="2" t="str">
        <x:v>DaData</x:v>
      </x:c>
      <x:c r="C65" s="155"/>
      <x:c r="D65" s="56" t="str"/>
      <x:c r="E65" s="77"/>
      <x:c r="F65" s="77"/>
      <x:c r="G65" s="81"/>
      <x:c r="H65" s="56"/>
      <x:c r="I65" s="56"/>
      <x:c r="J65" s="56"/>
      <x:c r="K65" s="56" t="str"/>
      <x:c r="L65" s="73"/>
      <x:c r="M65" s="56" t="str"/>
      <x:c r="N65" s="58" t="str"/>
    </x:row>
    <x:row r="66">
      <x:c r="A66" s="55" t="str">
        <x:v>TC-16</x:v>
      </x:c>
      <x:c r="B66" s="2" t="str">
        <x:v>Kontur.Focus API</x:v>
      </x:c>
      <x:c r="C66" s="155"/>
      <x:c r="D66" s="56" t="str"/>
      <x:c r="E66" s="77"/>
      <x:c r="F66" s="77"/>
      <x:c r="G66" s="81"/>
      <x:c r="H66" s="56"/>
      <x:c r="I66" s="56"/>
      <x:c r="J66" s="56"/>
      <x:c r="K66" s="56" t="str"/>
      <x:c r="L66" s="73"/>
      <x:c r="M66" s="56" t="str"/>
      <x:c r="N66" s="58" t="str"/>
    </x:row>
    <x:row r="67">
      <x:c r="A67" s="55" t="str">
        <x:v>TC-16</x:v>
      </x:c>
      <x:c r="B67" s="2" t="str">
        <x:v>Seldon.Basis API</x:v>
      </x:c>
      <x:c r="C67" s="155"/>
      <x:c r="D67" s="56" t="str"/>
      <x:c r="E67" s="77"/>
      <x:c r="F67" s="77"/>
      <x:c r="G67" s="81"/>
      <x:c r="H67" s="56"/>
      <x:c r="I67" s="56"/>
      <x:c r="J67" s="56"/>
      <x:c r="K67" s="56" t="str"/>
      <x:c r="L67" s="73"/>
      <x:c r="M67" s="56" t="str"/>
      <x:c r="N67" s="58" t="str"/>
    </x:row>
    <x:row r="68">
      <x:c r="A68" s="55" t="str">
        <x:v>TC-16</x:v>
      </x:c>
      <x:c r="B68" s="2" t="str">
        <x:v>FTS EGRUL/EGRIP</x:v>
      </x:c>
      <x:c r="C68" s="155"/>
      <x:c r="D68" s="56" t="str"/>
      <x:c r="E68" s="77"/>
      <x:c r="F68" s="77"/>
      <x:c r="G68" s="81"/>
      <x:c r="H68" s="56"/>
      <x:c r="I68" s="56"/>
      <x:c r="J68" s="56"/>
      <x:c r="K68" s="56" t="str"/>
      <x:c r="L68" s="73"/>
      <x:c r="M68" s="56" t="str"/>
      <x:c r="N68" s="58" t="str"/>
    </x:row>
    <x:row r="69">
      <x:c r="A69" s="55" t="str">
        <x:v>TC-17</x:v>
      </x:c>
      <x:c r="B69" s="2" t="str">
        <x:v>DaData</x:v>
      </x:c>
      <x:c r="C69" s="155"/>
      <x:c r="D69" s="56" t="str"/>
      <x:c r="E69" s="77"/>
      <x:c r="F69" s="77"/>
      <x:c r="G69" s="81"/>
      <x:c r="H69" s="56"/>
      <x:c r="I69" s="56"/>
      <x:c r="J69" s="56"/>
      <x:c r="K69" s="56" t="str"/>
      <x:c r="L69" s="73"/>
      <x:c r="M69" s="56" t="str"/>
      <x:c r="N69" s="58" t="str"/>
    </x:row>
    <x:row r="70">
      <x:c r="A70" s="55" t="str">
        <x:v>TC-17</x:v>
      </x:c>
      <x:c r="B70" s="2" t="str">
        <x:v>Kontur.Focus API</x:v>
      </x:c>
      <x:c r="C70" s="155"/>
      <x:c r="D70" s="56" t="str"/>
      <x:c r="E70" s="77"/>
      <x:c r="F70" s="77"/>
      <x:c r="G70" s="81"/>
      <x:c r="H70" s="56"/>
      <x:c r="I70" s="56"/>
      <x:c r="J70" s="56"/>
      <x:c r="K70" s="56" t="str"/>
      <x:c r="L70" s="73"/>
      <x:c r="M70" s="56" t="str"/>
      <x:c r="N70" s="58" t="str"/>
    </x:row>
    <x:row r="71">
      <x:c r="A71" s="55" t="str">
        <x:v>TC-17</x:v>
      </x:c>
      <x:c r="B71" s="2" t="str">
        <x:v>Seldon.Basis API</x:v>
      </x:c>
      <x:c r="C71" s="155"/>
      <x:c r="D71" s="56" t="str"/>
      <x:c r="E71" s="77"/>
      <x:c r="F71" s="77"/>
      <x:c r="G71" s="81"/>
      <x:c r="H71" s="56"/>
      <x:c r="I71" s="56"/>
      <x:c r="J71" s="56"/>
      <x:c r="K71" s="56" t="str"/>
      <x:c r="L71" s="73"/>
      <x:c r="M71" s="56" t="str"/>
      <x:c r="N71" s="58" t="str"/>
    </x:row>
    <x:row r="72">
      <x:c r="A72" s="55" t="str">
        <x:v>TC-17</x:v>
      </x:c>
      <x:c r="B72" s="2" t="str">
        <x:v>FTS EGRUL/EGRIP</x:v>
      </x:c>
      <x:c r="C72" s="155"/>
      <x:c r="D72" s="56" t="str"/>
      <x:c r="E72" s="77"/>
      <x:c r="F72" s="77"/>
      <x:c r="G72" s="81"/>
      <x:c r="H72" s="56"/>
      <x:c r="I72" s="56"/>
      <x:c r="J72" s="56"/>
      <x:c r="K72" s="56" t="str"/>
      <x:c r="L72" s="73"/>
      <x:c r="M72" s="56" t="str"/>
      <x:c r="N72" s="58" t="str"/>
    </x:row>
    <x:row r="73">
      <x:c r="A73" s="55" t="str">
        <x:v>TC-18</x:v>
      </x:c>
      <x:c r="B73" s="2" t="str">
        <x:v>DaData</x:v>
      </x:c>
      <x:c r="C73" s="155"/>
      <x:c r="D73" s="56" t="str"/>
      <x:c r="E73" s="77"/>
      <x:c r="F73" s="77"/>
      <x:c r="G73" s="81"/>
      <x:c r="H73" s="56"/>
      <x:c r="I73" s="56"/>
      <x:c r="J73" s="56"/>
      <x:c r="K73" s="56" t="str"/>
      <x:c r="L73" s="73"/>
      <x:c r="M73" s="56" t="str"/>
      <x:c r="N73" s="58" t="str"/>
    </x:row>
    <x:row r="74">
      <x:c r="A74" s="55" t="str">
        <x:v>TC-18</x:v>
      </x:c>
      <x:c r="B74" s="2" t="str">
        <x:v>Kontur.Focus API</x:v>
      </x:c>
      <x:c r="C74" s="155"/>
      <x:c r="D74" s="56" t="str"/>
      <x:c r="E74" s="77"/>
      <x:c r="F74" s="77"/>
      <x:c r="G74" s="81"/>
      <x:c r="H74" s="56"/>
      <x:c r="I74" s="56"/>
      <x:c r="J74" s="56"/>
      <x:c r="K74" s="56" t="str"/>
      <x:c r="L74" s="73"/>
      <x:c r="M74" s="56" t="str"/>
      <x:c r="N74" s="58" t="str"/>
    </x:row>
    <x:row r="75">
      <x:c r="A75" s="55" t="str">
        <x:v>TC-18</x:v>
      </x:c>
      <x:c r="B75" s="2" t="str">
        <x:v>Seldon.Basis API</x:v>
      </x:c>
      <x:c r="C75" s="155"/>
      <x:c r="D75" s="56" t="str"/>
      <x:c r="E75" s="77"/>
      <x:c r="F75" s="77"/>
      <x:c r="G75" s="81"/>
      <x:c r="H75" s="56"/>
      <x:c r="I75" s="56"/>
      <x:c r="J75" s="56"/>
      <x:c r="K75" s="56" t="str"/>
      <x:c r="L75" s="73"/>
      <x:c r="M75" s="56" t="str"/>
      <x:c r="N75" s="58" t="str"/>
    </x:row>
    <x:row r="76">
      <x:c r="A76" s="55" t="str">
        <x:v>TC-18</x:v>
      </x:c>
      <x:c r="B76" s="2" t="str">
        <x:v>FTS EGRUL/EGRIP</x:v>
      </x:c>
      <x:c r="C76" s="155"/>
      <x:c r="D76" s="56" t="str"/>
      <x:c r="E76" s="77"/>
      <x:c r="F76" s="77"/>
      <x:c r="G76" s="81"/>
      <x:c r="H76" s="56"/>
      <x:c r="I76" s="56"/>
      <x:c r="J76" s="56"/>
      <x:c r="K76" s="56" t="str"/>
      <x:c r="L76" s="73"/>
      <x:c r="M76" s="56" t="str"/>
      <x:c r="N76" s="58" t="str"/>
    </x:row>
    <x:row r="77">
      <x:c r="A77" s="55" t="str">
        <x:v>TC-19</x:v>
      </x:c>
      <x:c r="B77" s="2" t="str">
        <x:v>DaData</x:v>
      </x:c>
      <x:c r="C77" s="155"/>
      <x:c r="D77" s="56" t="str"/>
      <x:c r="E77" s="77"/>
      <x:c r="F77" s="77"/>
      <x:c r="G77" s="81"/>
      <x:c r="H77" s="56"/>
      <x:c r="I77" s="56"/>
      <x:c r="J77" s="56"/>
      <x:c r="K77" s="56" t="str"/>
      <x:c r="L77" s="73"/>
      <x:c r="M77" s="56" t="str"/>
      <x:c r="N77" s="58" t="str"/>
    </x:row>
    <x:row r="78">
      <x:c r="A78" s="55" t="str">
        <x:v>TC-19</x:v>
      </x:c>
      <x:c r="B78" s="2" t="str">
        <x:v>Kontur.Focus API</x:v>
      </x:c>
      <x:c r="C78" s="155"/>
      <x:c r="D78" s="56" t="str"/>
      <x:c r="E78" s="77"/>
      <x:c r="F78" s="77"/>
      <x:c r="G78" s="81"/>
      <x:c r="H78" s="56"/>
      <x:c r="I78" s="56"/>
      <x:c r="J78" s="56"/>
      <x:c r="K78" s="56" t="str"/>
      <x:c r="L78" s="73"/>
      <x:c r="M78" s="56" t="str"/>
      <x:c r="N78" s="58" t="str"/>
    </x:row>
    <x:row r="79">
      <x:c r="A79" s="55" t="str">
        <x:v>TC-19</x:v>
      </x:c>
      <x:c r="B79" s="2" t="str">
        <x:v>Seldon.Basis API</x:v>
      </x:c>
      <x:c r="C79" s="155"/>
      <x:c r="D79" s="56" t="str"/>
      <x:c r="E79" s="77"/>
      <x:c r="F79" s="77"/>
      <x:c r="G79" s="81"/>
      <x:c r="H79" s="56"/>
      <x:c r="I79" s="56"/>
      <x:c r="J79" s="56"/>
      <x:c r="K79" s="56" t="str"/>
      <x:c r="L79" s="73"/>
      <x:c r="M79" s="56" t="str"/>
      <x:c r="N79" s="58" t="str"/>
    </x:row>
    <x:row r="80">
      <x:c r="A80" s="55" t="str">
        <x:v>TC-19</x:v>
      </x:c>
      <x:c r="B80" s="2" t="str">
        <x:v>FTS EGRUL/EGRIP</x:v>
      </x:c>
      <x:c r="C80" s="155"/>
      <x:c r="D80" s="56" t="str"/>
      <x:c r="E80" s="77"/>
      <x:c r="F80" s="77"/>
      <x:c r="G80" s="81"/>
      <x:c r="H80" s="56"/>
      <x:c r="I80" s="56"/>
      <x:c r="J80" s="56"/>
      <x:c r="K80" s="56" t="str"/>
      <x:c r="L80" s="73"/>
      <x:c r="M80" s="56" t="str"/>
      <x:c r="N80" s="58" t="str"/>
    </x:row>
    <x:row r="81">
      <x:c r="A81" s="55" t="str">
        <x:v>TC-20</x:v>
      </x:c>
      <x:c r="B81" s="2" t="str">
        <x:v>DaData</x:v>
      </x:c>
      <x:c r="C81" s="155"/>
      <x:c r="D81" s="56" t="str"/>
      <x:c r="E81" s="77"/>
      <x:c r="F81" s="77"/>
      <x:c r="G81" s="81"/>
      <x:c r="H81" s="56"/>
      <x:c r="I81" s="56"/>
      <x:c r="J81" s="56"/>
      <x:c r="K81" s="56" t="str"/>
      <x:c r="L81" s="73"/>
      <x:c r="M81" s="56" t="str"/>
      <x:c r="N81" s="58" t="str"/>
    </x:row>
    <x:row r="82">
      <x:c r="A82" s="55" t="str">
        <x:v>TC-20</x:v>
      </x:c>
      <x:c r="B82" s="2" t="str">
        <x:v>Kontur.Focus API</x:v>
      </x:c>
      <x:c r="C82" s="155"/>
      <x:c r="D82" s="56" t="str"/>
      <x:c r="E82" s="77"/>
      <x:c r="F82" s="77"/>
      <x:c r="G82" s="81"/>
      <x:c r="H82" s="56"/>
      <x:c r="I82" s="56"/>
      <x:c r="J82" s="56"/>
      <x:c r="K82" s="56" t="str"/>
      <x:c r="L82" s="73"/>
      <x:c r="M82" s="56" t="str"/>
      <x:c r="N82" s="58" t="str"/>
    </x:row>
    <x:row r="83">
      <x:c r="A83" s="55" t="str">
        <x:v>TC-20</x:v>
      </x:c>
      <x:c r="B83" s="2" t="str">
        <x:v>Seldon.Basis API</x:v>
      </x:c>
      <x:c r="C83" s="155"/>
      <x:c r="D83" s="56" t="str"/>
      <x:c r="E83" s="77"/>
      <x:c r="F83" s="77"/>
      <x:c r="G83" s="81"/>
      <x:c r="H83" s="56"/>
      <x:c r="I83" s="56"/>
      <x:c r="J83" s="56"/>
      <x:c r="K83" s="56" t="str"/>
      <x:c r="L83" s="73"/>
      <x:c r="M83" s="56" t="str"/>
      <x:c r="N83" s="58" t="str"/>
    </x:row>
    <x:row r="84">
      <x:c r="A84" s="59" t="str">
        <x:v>TC-20</x:v>
      </x:c>
      <x:c r="B84" s="60" t="str">
        <x:v>FTS EGRUL/EGRIP</x:v>
      </x:c>
      <x:c r="C84" s="156"/>
      <x:c r="D84" s="61" t="str"/>
      <x:c r="E84" s="78"/>
      <x:c r="F84" s="78"/>
      <x:c r="G84" s="82"/>
      <x:c r="H84" s="61"/>
      <x:c r="I84" s="61"/>
      <x:c r="J84" s="61"/>
      <x:c r="K84" s="61" t="str"/>
      <x:c r="L84" s="74"/>
      <x:c r="M84" s="61" t="str"/>
      <x:c r="N84" s="63" t="str"/>
    </x:row>
  </x:sheetData>
  <x:mergeCells>
    <x:mergeCell ref="A1:N1"/>
    <x:mergeCell ref="A2:N2"/>
  </x:mergeCells>
  <x:conditionalFormatting sqref="E5:E84">
    <x:cfRule type="dataBar" priority="1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{DB169790-35D4-B621-D800-66A4F06C2CBE}</x14:id>
        </x:ext>
      </x:extLst>
    </x:cfRule>
  </x:conditionalFormatting>
  <x:conditionalFormatting sqref="G5:G84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dataValidations count="4">
    <x:dataValidation type="list" sqref="B5:B84">
      <x:formula1>Lists!$F$2:$F$5</x:formula1>
    </x:dataValidation>
    <x:dataValidation type="list" sqref="H5:H84">
      <x:formula1>Lists!$D$2:$D$7</x:formula1>
    </x:dataValidation>
    <x:dataValidation type="list" sqref="I5:I84">
      <x:formula1>Lists!$D$2:$D$7</x:formula1>
    </x:dataValidation>
    <x:dataValidation type="list" sqref="J5:J84">
      <x:formula1>Lists!$D$2:$D$7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6bcc60e4bf545e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B169790-35D4-B621-D800-66A4F06C2CBE}">
            <x14:dataBar gradient="1">
              <x14:cfvo type="min"/>
              <x14:cfvo type="max"/>
              <x14:fillColor rgb="FF0F9ED5"/>
            </x14:dataBar>
          </x14:cfRule>
          <xm:sqref>E5:E84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45" hidden="0" customWidth="1"/>
    <x:col min="4" max="4" width="45" hidden="0" customWidth="1"/>
    <x:col min="5" max="5" width="12" hidden="0" customWidth="1"/>
    <x:col min="6" max="6" width="12" hidden="0" customWidth="1"/>
    <x:col min="7" max="7" width="18" hidden="0" customWidth="1"/>
    <x:col min="8" max="8" width="18" hidden="0" customWidth="1"/>
    <x:col min="9" max="9" width="18" hidden="0" customWidth="1"/>
    <x:col min="10" max="10" width="16" hidden="0" customWidth="1"/>
    <x:col min="11" max="11" width="16" hidden="0" customWidth="1"/>
    <x:col min="12" max="12" width="13" hidden="0" customWidth="1"/>
    <x:col min="13" max="13" width="38" hidden="0" customWidth="1"/>
    <x:col min="14" max="14" width="32" hidden="0" customWidth="1"/>
  </x:cols>
  <x:sheetData>
    <x:row r="1">
      <x:c r="A1" s="15" t="str">
        <x:v>Provider RFP &amp; Due-Diligence Tracker / Вопросник поставщика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</x:row>
    <x:row r="3">
      <x:c r="A3" s="34" t="str">
        <x:v>ID</x:v>
      </x:c>
      <x:c r="B3" s="35" t="str">
        <x:v>Category</x:v>
      </x:c>
      <x:c r="C3" s="35" t="str">
        <x:v>Question (RU)</x:v>
      </x:c>
      <x:c r="D3" s="35" t="str">
        <x:v>Question (EN)</x:v>
      </x:c>
      <x:c r="E3" s="35" t="str">
        <x:v>Priority</x:v>
      </x:c>
      <x:c r="F3" s="35" t="str">
        <x:v>Mandatory?</x:v>
      </x:c>
      <x:c r="G3" s="35" t="str">
        <x:v>DaData Response Status</x:v>
      </x:c>
      <x:c r="H3" s="35" t="str">
        <x:v>Kontur Response Status</x:v>
      </x:c>
      <x:c r="I3" s="35" t="str">
        <x:v>Seldon Response Status</x:v>
      </x:c>
      <x:c r="J3" s="35" t="str">
        <x:v>FTS Status</x:v>
      </x:c>
      <x:c r="K3" s="35" t="str">
        <x:v>Owner</x:v>
      </x:c>
      <x:c r="L3" s="35" t="str">
        <x:v>Due Date</x:v>
      </x:c>
      <x:c r="M3" s="35" t="str">
        <x:v>Evidence / Answer Link</x:v>
      </x:c>
      <x:c r="N3" s="36" t="str">
        <x:v>Decision Impact</x:v>
      </x:c>
    </x:row>
    <x:row r="4">
      <x:c r="A4" s="55" t="str">
        <x:v>RFP-01</x:v>
      </x:c>
      <x:c r="B4" s="2" t="str">
        <x:v>Commercial</x:v>
      </x:c>
      <x:c r="C4" s="2" t="str">
        <x:v>Предоставьте полный актуальный прайс API и состав каждого пакета.</x:v>
      </x:c>
      <x:c r="D4" s="2" t="str">
        <x:v>Provide the complete current API price list and package composition.</x:v>
      </x:c>
      <x:c r="E4" s="2" t="str">
        <x:v>Critical</x:v>
      </x:c>
      <x:c r="F4" s="2" t="str">
        <x:v>Yes</x:v>
      </x:c>
      <x:c r="G4" s="56" t="str">
        <x:v>Received</x:v>
      </x:c>
      <x:c r="H4" s="56" t="str">
        <x:v>Not requested</x:v>
      </x:c>
      <x:c r="I4" s="56" t="str">
        <x:v>Not requested</x:v>
      </x:c>
      <x:c r="J4" s="56" t="str">
        <x:v>Received</x:v>
      </x:c>
      <x:c r="K4" s="56"/>
      <x:c r="L4" s="155"/>
      <x:c r="M4" s="56"/>
      <x:c r="N4" s="107" t="str">
        <x:v>Without pricing, TCO is incomplete</x:v>
      </x:c>
    </x:row>
    <x:row r="5">
      <x:c r="A5" s="55" t="str">
        <x:v>RFP-02</x:v>
      </x:c>
      <x:c r="B5" s="2" t="str">
        <x:v>Commercial</x:v>
      </x:c>
      <x:c r="C5" s="2" t="str">
        <x:v>Как тарифицируются batch-запросы и частичные ошибки?</x:v>
      </x:c>
      <x:c r="D5" s="2" t="str">
        <x:v>How are batch requests and partial failures billed?</x:v>
      </x:c>
      <x:c r="E5" s="2" t="str">
        <x:v>Critical</x:v>
      </x:c>
      <x:c r="F5" s="2" t="str">
        <x:v>Yes</x:v>
      </x:c>
      <x:c r="G5" s="56" t="str">
        <x:v>Not requested</x:v>
      </x:c>
      <x:c r="H5" s="56" t="str">
        <x:v>Not requested</x:v>
      </x:c>
      <x:c r="I5" s="56" t="str">
        <x:v>Not requested</x:v>
      </x:c>
      <x:c r="J5" s="56" t="str">
        <x:v>Not requested</x:v>
      </x:c>
      <x:c r="K5" s="56"/>
      <x:c r="L5" s="155"/>
      <x:c r="M5" s="56"/>
      <x:c r="N5" s="107" t="str">
        <x:v>Can materially change variable cost</x:v>
      </x:c>
    </x:row>
    <x:row r="6">
      <x:c r="A6" s="55" t="str">
        <x:v>RFP-03</x:v>
      </x:c>
      <x:c r="B6" s="2" t="str">
        <x:v>Commercial</x:v>
      </x:c>
      <x:c r="C6" s="2" t="str">
        <x:v>Есть ли минимальный платёж, setup fee или обязательный срок?</x:v>
      </x:c>
      <x:c r="D6" s="2" t="str">
        <x:v>Are there minimum commitments, setup fees, or contract terms?</x:v>
      </x:c>
      <x:c r="E6" s="2" t="str">
        <x:v>High</x:v>
      </x:c>
      <x:c r="F6" s="2" t="str">
        <x:v>Yes</x:v>
      </x:c>
      <x:c r="G6" s="56" t="str">
        <x:v>Not requested</x:v>
      </x:c>
      <x:c r="H6" s="56" t="str">
        <x:v>Not requested</x:v>
      </x:c>
      <x:c r="I6" s="56" t="str">
        <x:v>Not requested</x:v>
      </x:c>
      <x:c r="J6" s="56" t="str">
        <x:v>Not requested</x:v>
      </x:c>
      <x:c r="K6" s="56"/>
      <x:c r="L6" s="155"/>
      <x:c r="M6" s="56"/>
      <x:c r="N6" s="107" t="str">
        <x:v>Affects cash flow and exit cost</x:v>
      </x:c>
    </x:row>
    <x:row r="7">
      <x:c r="A7" s="55" t="str">
        <x:v>RFP-04</x:v>
      </x:c>
      <x:c r="B7" s="2" t="str">
        <x:v>Commercial</x:v>
      </x:c>
      <x:c r="C7" s="2" t="str">
        <x:v>Как меняется цена при росте объёма на 25–100%?</x:v>
      </x:c>
      <x:c r="D7" s="2" t="str">
        <x:v>How does pricing change at 25–100% volume growth?</x:v>
      </x:c>
      <x:c r="E7" s="2" t="str">
        <x:v>High</x:v>
      </x:c>
      <x:c r="F7" s="2" t="str">
        <x:v>Yes</x:v>
      </x:c>
      <x:c r="G7" s="56" t="str">
        <x:v>Not requested</x:v>
      </x:c>
      <x:c r="H7" s="56" t="str">
        <x:v>Not requested</x:v>
      </x:c>
      <x:c r="I7" s="56" t="str">
        <x:v>Not requested</x:v>
      </x:c>
      <x:c r="J7" s="56" t="str">
        <x:v>Not requested</x:v>
      </x:c>
      <x:c r="K7" s="56"/>
      <x:c r="L7" s="155"/>
      <x:c r="M7" s="56"/>
      <x:c r="N7" s="107" t="str">
        <x:v>Required for 3Y TCO</x:v>
      </x:c>
    </x:row>
    <x:row r="8">
      <x:c r="A8" s="55" t="str">
        <x:v>RFP-05</x:v>
      </x:c>
      <x:c r="B8" s="2" t="str">
        <x:v>Technical</x:v>
      </x:c>
      <x:c r="C8" s="2" t="str">
        <x:v>Предоставьте актуальную OpenAPI/Swagger или полную спецификацию.</x:v>
      </x:c>
      <x:c r="D8" s="2" t="str">
        <x:v>Provide the current OpenAPI/Swagger or complete specification.</x:v>
      </x:c>
      <x:c r="E8" s="2" t="str">
        <x:v>Critical</x:v>
      </x:c>
      <x:c r="F8" s="2" t="str">
        <x:v>Yes</x:v>
      </x:c>
      <x:c r="G8" s="56" t="str">
        <x:v>Received</x:v>
      </x:c>
      <x:c r="H8" s="56" t="str">
        <x:v>Not requested</x:v>
      </x:c>
      <x:c r="I8" s="56" t="str">
        <x:v>Not requested</x:v>
      </x:c>
      <x:c r="J8" s="56" t="str">
        <x:v>Received</x:v>
      </x:c>
      <x:c r="K8" s="56"/>
      <x:c r="L8" s="155"/>
      <x:c r="M8" s="56"/>
      <x:c r="N8" s="107" t="str">
        <x:v>Required for integration estimate</x:v>
      </x:c>
    </x:row>
    <x:row r="9">
      <x:c r="A9" s="55" t="str">
        <x:v>RFP-06</x:v>
      </x:c>
      <x:c r="B9" s="2" t="str">
        <x:v>Technical</x:v>
      </x:c>
      <x:c r="C9" s="2" t="str">
        <x:v>Опишите авторизацию, rotation и отзыв ключей.</x:v>
      </x:c>
      <x:c r="D9" s="2" t="str">
        <x:v>Describe authentication, key rotation, and revocation.</x:v>
      </x:c>
      <x:c r="E9" s="2" t="str">
        <x:v>High</x:v>
      </x:c>
      <x:c r="F9" s="2" t="str">
        <x:v>Yes</x:v>
      </x:c>
      <x:c r="G9" s="56" t="str">
        <x:v>Not requested</x:v>
      </x:c>
      <x:c r="H9" s="56" t="str">
        <x:v>Received</x:v>
      </x:c>
      <x:c r="I9" s="56" t="str">
        <x:v>Not requested</x:v>
      </x:c>
      <x:c r="J9" s="56" t="str">
        <x:v>Not requested</x:v>
      </x:c>
      <x:c r="K9" s="56"/>
      <x:c r="L9" s="155"/>
      <x:c r="M9" s="56"/>
      <x:c r="N9" s="107" t="str">
        <x:v>Security and operations</x:v>
      </x:c>
    </x:row>
    <x:row r="10">
      <x:c r="A10" s="55" t="str">
        <x:v>RFP-07</x:v>
      </x:c>
      <x:c r="B10" s="2" t="str">
        <x:v>Technical</x:v>
      </x:c>
      <x:c r="C10" s="2" t="str">
        <x:v>Какие production rate limits, bursts и concurrent limits?</x:v>
      </x:c>
      <x:c r="D10" s="2" t="str">
        <x:v>What are production rate, burst, and concurrency limits?</x:v>
      </x:c>
      <x:c r="E10" s="2" t="str">
        <x:v>Critical</x:v>
      </x:c>
      <x:c r="F10" s="2" t="str">
        <x:v>Yes</x:v>
      </x:c>
      <x:c r="G10" s="56" t="str">
        <x:v>Received</x:v>
      </x:c>
      <x:c r="H10" s="56" t="str">
        <x:v>Not requested</x:v>
      </x:c>
      <x:c r="I10" s="56" t="str">
        <x:v>Received</x:v>
      </x:c>
      <x:c r="J10" s="56" t="str">
        <x:v>Not requested</x:v>
      </x:c>
      <x:c r="K10" s="56"/>
      <x:c r="L10" s="155"/>
      <x:c r="M10" s="56"/>
      <x:c r="N10" s="107" t="str">
        <x:v>Capacity fit</x:v>
      </x:c>
    </x:row>
    <x:row r="11">
      <x:c r="A11" s="55" t="str">
        <x:v>RFP-08</x:v>
      </x:c>
      <x:c r="B11" s="2" t="str">
        <x:v>Technical</x:v>
      </x:c>
      <x:c r="C11" s="2" t="str">
        <x:v>Как API сообщает о превышении лимита и когда можно повторять запрос?</x:v>
      </x:c>
      <x:c r="D11" s="2" t="str">
        <x:v>How does the API report throttling and when may clients retry?</x:v>
      </x:c>
      <x:c r="E11" s="2" t="str">
        <x:v>High</x:v>
      </x:c>
      <x:c r="F11" s="2" t="str">
        <x:v>Yes</x:v>
      </x:c>
      <x:c r="G11" s="56" t="str">
        <x:v>Not requested</x:v>
      </x:c>
      <x:c r="H11" s="56" t="str">
        <x:v>Not requested</x:v>
      </x:c>
      <x:c r="I11" s="56" t="str">
        <x:v>Not requested</x:v>
      </x:c>
      <x:c r="J11" s="56" t="str">
        <x:v>Not requested</x:v>
      </x:c>
      <x:c r="K11" s="56"/>
      <x:c r="L11" s="155"/>
      <x:c r="M11" s="56"/>
      <x:c r="N11" s="107" t="str">
        <x:v>Resilience design</x:v>
      </x:c>
    </x:row>
    <x:row r="12">
      <x:c r="A12" s="55" t="str">
        <x:v>RFP-09</x:v>
      </x:c>
      <x:c r="B12" s="2" t="str">
        <x:v>Technical</x:v>
      </x:c>
      <x:c r="C12" s="2" t="str">
        <x:v>Есть ли idempotency для повторных или batch-запросов?</x:v>
      </x:c>
      <x:c r="D12" s="2" t="str">
        <x:v>Is idempotency supported for retries or batch requests?</x:v>
      </x:c>
      <x:c r="E12" s="2" t="str">
        <x:v>Medium</x:v>
      </x:c>
      <x:c r="F12" s="2" t="str">
        <x:v>No</x:v>
      </x:c>
      <x:c r="G12" s="56" t="str">
        <x:v>Not requested</x:v>
      </x:c>
      <x:c r="H12" s="56" t="str">
        <x:v>Not requested</x:v>
      </x:c>
      <x:c r="I12" s="56" t="str">
        <x:v>Not requested</x:v>
      </x:c>
      <x:c r="J12" s="56" t="str">
        <x:v>Not requested</x:v>
      </x:c>
      <x:c r="K12" s="56"/>
      <x:c r="L12" s="155"/>
      <x:c r="M12" s="56"/>
      <x:c r="N12" s="107" t="str">
        <x:v>Duplicate processing risk</x:v>
      </x:c>
    </x:row>
    <x:row r="13">
      <x:c r="A13" s="55" t="str">
        <x:v>RFP-10</x:v>
      </x:c>
      <x:c r="B13" s="2" t="str">
        <x:v>Technical</x:v>
      </x:c>
      <x:c r="C13" s="2" t="str">
        <x:v>Какая политика версий и срок уведомления о breaking changes?</x:v>
      </x:c>
      <x:c r="D13" s="2" t="str">
        <x:v>What is the versioning policy and breaking-change notice period?</x:v>
      </x:c>
      <x:c r="E13" s="2" t="str">
        <x:v>Critical</x:v>
      </x:c>
      <x:c r="F13" s="2" t="str">
        <x:v>Yes</x:v>
      </x:c>
      <x:c r="G13" s="56" t="str">
        <x:v>Not requested</x:v>
      </x:c>
      <x:c r="H13" s="56" t="str">
        <x:v>Not requested</x:v>
      </x:c>
      <x:c r="I13" s="56" t="str">
        <x:v>Not requested</x:v>
      </x:c>
      <x:c r="J13" s="56" t="str">
        <x:v>Not requested</x:v>
      </x:c>
      <x:c r="K13" s="56"/>
      <x:c r="L13" s="155"/>
      <x:c r="M13" s="56"/>
      <x:c r="N13" s="107" t="str">
        <x:v>Migration risk</x:v>
      </x:c>
    </x:row>
    <x:row r="14">
      <x:c r="A14" s="55" t="str">
        <x:v>RFP-11</x:v>
      </x:c>
      <x:c r="B14" s="2" t="str">
        <x:v>Reliability</x:v>
      </x:c>
      <x:c r="C14" s="2" t="str">
        <x:v>Предоставьте SLA, uptime definition и компенсации.</x:v>
      </x:c>
      <x:c r="D14" s="2" t="str">
        <x:v>Provide the SLA, uptime definition, and remedies.</x:v>
      </x:c>
      <x:c r="E14" s="2" t="str">
        <x:v>Critical</x:v>
      </x:c>
      <x:c r="F14" s="2" t="str">
        <x:v>Yes</x:v>
      </x:c>
      <x:c r="G14" s="56" t="str">
        <x:v>Not requested</x:v>
      </x:c>
      <x:c r="H14" s="56" t="str">
        <x:v>Not requested</x:v>
      </x:c>
      <x:c r="I14" s="56" t="str">
        <x:v>Not requested</x:v>
      </x:c>
      <x:c r="J14" s="56" t="str">
        <x:v>Not requested</x:v>
      </x:c>
      <x:c r="K14" s="56"/>
      <x:c r="L14" s="155"/>
      <x:c r="M14" s="56"/>
      <x:c r="N14" s="107" t="str">
        <x:v>Operational risk</x:v>
      </x:c>
    </x:row>
    <x:row r="15">
      <x:c r="A15" s="55" t="str">
        <x:v>RFP-12</x:v>
      </x:c>
      <x:c r="B15" s="2" t="str">
        <x:v>Reliability</x:v>
      </x:c>
      <x:c r="C15" s="2" t="str">
        <x:v>Есть ли публичная status page и история инцидентов?</x:v>
      </x:c>
      <x:c r="D15" s="2" t="str">
        <x:v>Is there a public status page and incident history?</x:v>
      </x:c>
      <x:c r="E15" s="2" t="str">
        <x:v>High</x:v>
      </x:c>
      <x:c r="F15" s="2" t="str">
        <x:v>No</x:v>
      </x:c>
      <x:c r="G15" s="56" t="str">
        <x:v>Not requested</x:v>
      </x:c>
      <x:c r="H15" s="56" t="str">
        <x:v>Not requested</x:v>
      </x:c>
      <x:c r="I15" s="56" t="str">
        <x:v>Not requested</x:v>
      </x:c>
      <x:c r="J15" s="56" t="str">
        <x:v>Not requested</x:v>
      </x:c>
      <x:c r="K15" s="56"/>
      <x:c r="L15" s="155"/>
      <x:c r="M15" s="56"/>
      <x:c r="N15" s="107" t="str">
        <x:v>Reliability transparency</x:v>
      </x:c>
    </x:row>
    <x:row r="16">
      <x:c r="A16" s="55" t="str">
        <x:v>RFP-13</x:v>
      </x:c>
      <x:c r="B16" s="2" t="str">
        <x:v>Reliability</x:v>
      </x:c>
      <x:c r="C16" s="2" t="str">
        <x:v>Как устроены резервирование и disaster recovery?</x:v>
      </x:c>
      <x:c r="D16" s="2" t="str">
        <x:v>Describe redundancy and disaster recovery.</x:v>
      </x:c>
      <x:c r="E16" s="2" t="str">
        <x:v>High</x:v>
      </x:c>
      <x:c r="F16" s="2" t="str">
        <x:v>Yes</x:v>
      </x:c>
      <x:c r="G16" s="56" t="str">
        <x:v>Not requested</x:v>
      </x:c>
      <x:c r="H16" s="56" t="str">
        <x:v>Not requested</x:v>
      </x:c>
      <x:c r="I16" s="56" t="str">
        <x:v>Not requested</x:v>
      </x:c>
      <x:c r="J16" s="56" t="str">
        <x:v>Not requested</x:v>
      </x:c>
      <x:c r="K16" s="56"/>
      <x:c r="L16" s="155"/>
      <x:c r="M16" s="56"/>
      <x:c r="N16" s="107" t="str">
        <x:v>Business continuity</x:v>
      </x:c>
    </x:row>
    <x:row r="17">
      <x:c r="A17" s="55" t="str">
        <x:v>RFP-14</x:v>
      </x:c>
      <x:c r="B17" s="2" t="str">
        <x:v>Data</x:v>
      </x:c>
      <x:c r="C17" s="2" t="str">
        <x:v>Перечислите источники каждого обязательного поля.</x:v>
      </x:c>
      <x:c r="D17" s="2" t="str">
        <x:v>List the source for each required field.</x:v>
      </x:c>
      <x:c r="E17" s="2" t="str">
        <x:v>Critical</x:v>
      </x:c>
      <x:c r="F17" s="2" t="str">
        <x:v>Yes</x:v>
      </x:c>
      <x:c r="G17" s="56" t="str">
        <x:v>Not requested</x:v>
      </x:c>
      <x:c r="H17" s="56" t="str">
        <x:v>Not requested</x:v>
      </x:c>
      <x:c r="I17" s="56" t="str">
        <x:v>Not requested</x:v>
      </x:c>
      <x:c r="J17" s="56" t="str">
        <x:v>Received</x:v>
      </x:c>
      <x:c r="K17" s="56"/>
      <x:c r="L17" s="155"/>
      <x:c r="M17" s="56"/>
      <x:c r="N17" s="107" t="str">
        <x:v>Data trust and provenance</x:v>
      </x:c>
    </x:row>
    <x:row r="18">
      <x:c r="A18" s="55" t="str">
        <x:v>RFP-15</x:v>
      </x:c>
      <x:c r="B18" s="2" t="str">
        <x:v>Data</x:v>
      </x:c>
      <x:c r="C18" s="2" t="str">
        <x:v>Какова типичная и максимальная задержка обновления данных?</x:v>
      </x:c>
      <x:c r="D18" s="2" t="str">
        <x:v>What are typical and maximum data-update delays?</x:v>
      </x:c>
      <x:c r="E18" s="2" t="str">
        <x:v>Critical</x:v>
      </x:c>
      <x:c r="F18" s="2" t="str">
        <x:v>Yes</x:v>
      </x:c>
      <x:c r="G18" s="56" t="str">
        <x:v>Not requested</x:v>
      </x:c>
      <x:c r="H18" s="56" t="str">
        <x:v>Not requested</x:v>
      </x:c>
      <x:c r="I18" s="56" t="str">
        <x:v>Not requested</x:v>
      </x:c>
      <x:c r="J18" s="56" t="str">
        <x:v>Not requested</x:v>
      </x:c>
      <x:c r="K18" s="56"/>
      <x:c r="L18" s="155"/>
      <x:c r="M18" s="56"/>
      <x:c r="N18" s="107" t="str">
        <x:v>Freshness fit</x:v>
      </x:c>
    </x:row>
    <x:row r="19">
      <x:c r="A19" s="55" t="str">
        <x:v>RFP-16</x:v>
      </x:c>
      <x:c r="B19" s="2" t="str">
        <x:v>Data</x:v>
      </x:c>
      <x:c r="C19" s="2" t="str">
        <x:v>Как сообщаются исправления и удаление ошибочных данных?</x:v>
      </x:c>
      <x:c r="D19" s="2" t="str">
        <x:v>How are corrections and removals communicated?</x:v>
      </x:c>
      <x:c r="E19" s="2" t="str">
        <x:v>High</x:v>
      </x:c>
      <x:c r="F19" s="2" t="str">
        <x:v>Yes</x:v>
      </x:c>
      <x:c r="G19" s="56" t="str">
        <x:v>Not requested</x:v>
      </x:c>
      <x:c r="H19" s="56" t="str">
        <x:v>Not requested</x:v>
      </x:c>
      <x:c r="I19" s="56" t="str">
        <x:v>Not requested</x:v>
      </x:c>
      <x:c r="J19" s="56" t="str">
        <x:v>Not requested</x:v>
      </x:c>
      <x:c r="K19" s="56"/>
      <x:c r="L19" s="155"/>
      <x:c r="M19" s="56"/>
      <x:c r="N19" s="107" t="str">
        <x:v>Data-quality operations</x:v>
      </x:c>
    </x:row>
    <x:row r="20">
      <x:c r="A20" s="55" t="str">
        <x:v>RFP-17</x:v>
      </x:c>
      <x:c r="B20" s="2" t="str">
        <x:v>Data</x:v>
      </x:c>
      <x:c r="C20" s="2" t="str">
        <x:v>Стабильны ли идентификаторы компаний и филиалов во времени?</x:v>
      </x:c>
      <x:c r="D20" s="2" t="str">
        <x:v>Are company and branch identifiers stable over time?</x:v>
      </x:c>
      <x:c r="E20" s="2" t="str">
        <x:v>High</x:v>
      </x:c>
      <x:c r="F20" s="2" t="str">
        <x:v>Yes</x:v>
      </x:c>
      <x:c r="G20" s="56" t="str">
        <x:v>Not requested</x:v>
      </x:c>
      <x:c r="H20" s="56" t="str">
        <x:v>Not requested</x:v>
      </x:c>
      <x:c r="I20" s="56" t="str">
        <x:v>Not requested</x:v>
      </x:c>
      <x:c r="J20" s="56" t="str">
        <x:v>Not requested</x:v>
      </x:c>
      <x:c r="K20" s="56"/>
      <x:c r="L20" s="155"/>
      <x:c r="M20" s="56"/>
      <x:c r="N20" s="107" t="str">
        <x:v>Entity reconciliation</x:v>
      </x:c>
    </x:row>
    <x:row r="21">
      <x:c r="A21" s="55" t="str">
        <x:v>RFP-18</x:v>
      </x:c>
      <x:c r="B21" s="2" t="str">
        <x:v>Data</x:v>
      </x:c>
      <x:c r="C21" s="2" t="str">
        <x:v>Как обрабатываются слияния, ликвидации и правопреемство?</x:v>
      </x:c>
      <x:c r="D21" s="2" t="str">
        <x:v>How are mergers, liquidations, and succession handled?</x:v>
      </x:c>
      <x:c r="E21" s="2" t="str">
        <x:v>High</x:v>
      </x:c>
      <x:c r="F21" s="2" t="str">
        <x:v>Yes</x:v>
      </x:c>
      <x:c r="G21" s="56" t="str">
        <x:v>Not requested</x:v>
      </x:c>
      <x:c r="H21" s="56" t="str">
        <x:v>Not requested</x:v>
      </x:c>
      <x:c r="I21" s="56" t="str">
        <x:v>Not requested</x:v>
      </x:c>
      <x:c r="J21" s="56" t="str">
        <x:v>Not requested</x:v>
      </x:c>
      <x:c r="K21" s="56"/>
      <x:c r="L21" s="155"/>
      <x:c r="M21" s="56"/>
      <x:c r="N21" s="107" t="str">
        <x:v>Historical correctness</x:v>
      </x:c>
    </x:row>
    <x:row r="22">
      <x:c r="A22" s="55" t="str">
        <x:v>RFP-19</x:v>
      </x:c>
      <x:c r="B22" s="2" t="str">
        <x:v>Legal</x:v>
      </x:c>
      <x:c r="C22" s="2" t="str">
        <x:v>Разрешено ли хранить ответы и как долго?</x:v>
      </x:c>
      <x:c r="D22" s="2" t="str">
        <x:v>May API responses be stored, and for how long?</x:v>
      </x:c>
      <x:c r="E22" s="2" t="str">
        <x:v>Critical</x:v>
      </x:c>
      <x:c r="F22" s="2" t="str">
        <x:v>Yes</x:v>
      </x:c>
      <x:c r="G22" s="56" t="str">
        <x:v>Not requested</x:v>
      </x:c>
      <x:c r="H22" s="56" t="str">
        <x:v>Not requested</x:v>
      </x:c>
      <x:c r="I22" s="56" t="str">
        <x:v>Not requested</x:v>
      </x:c>
      <x:c r="J22" s="56" t="str">
        <x:v>Not requested</x:v>
      </x:c>
      <x:c r="K22" s="56"/>
      <x:c r="L22" s="155"/>
      <x:c r="M22" s="56"/>
      <x:c r="N22" s="107" t="str">
        <x:v>Architecture may be impossible otherwise</x:v>
      </x:c>
    </x:row>
    <x:row r="23">
      <x:c r="A23" s="55" t="str">
        <x:v>RFP-20</x:v>
      </x:c>
      <x:c r="B23" s="2" t="str">
        <x:v>Legal</x:v>
      </x:c>
      <x:c r="C23" s="2" t="str">
        <x:v>Разрешено ли кэширование и повторное использование внутри группы компаний?</x:v>
      </x:c>
      <x:c r="D23" s="2" t="str">
        <x:v>Is caching and reuse within a corporate group permitted?</x:v>
      </x:c>
      <x:c r="E23" s="2" t="str">
        <x:v>Critical</x:v>
      </x:c>
      <x:c r="F23" s="2" t="str">
        <x:v>Yes</x:v>
      </x:c>
      <x:c r="G23" s="56" t="str">
        <x:v>Not requested</x:v>
      </x:c>
      <x:c r="H23" s="56" t="str">
        <x:v>Not requested</x:v>
      </x:c>
      <x:c r="I23" s="56" t="str">
        <x:v>Not requested</x:v>
      </x:c>
      <x:c r="J23" s="56" t="str">
        <x:v>Not requested</x:v>
      </x:c>
      <x:c r="K23" s="56"/>
      <x:c r="L23" s="155"/>
      <x:c r="M23" s="56"/>
      <x:c r="N23" s="107" t="str">
        <x:v>Internal distribution</x:v>
      </x:c>
    </x:row>
    <x:row r="24">
      <x:c r="A24" s="55" t="str">
        <x:v>RFP-21</x:v>
      </x:c>
      <x:c r="B24" s="2" t="str">
        <x:v>Legal</x:v>
      </x:c>
      <x:c r="C24" s="2" t="str">
        <x:v>Разрешено ли показывать данные клиентам в SaaS?</x:v>
      </x:c>
      <x:c r="D24" s="2" t="str">
        <x:v>May data be displayed to customers in a SaaS product?</x:v>
      </x:c>
      <x:c r="E24" s="2" t="str">
        <x:v>Critical</x:v>
      </x:c>
      <x:c r="F24" s="2" t="str">
        <x:v>Yes</x:v>
      </x:c>
      <x:c r="G24" s="56" t="str">
        <x:v>Not requested</x:v>
      </x:c>
      <x:c r="H24" s="56" t="str">
        <x:v>Not requested</x:v>
      </x:c>
      <x:c r="I24" s="56" t="str">
        <x:v>Not requested</x:v>
      </x:c>
      <x:c r="J24" s="56" t="str">
        <x:v>Not requested</x:v>
      </x:c>
      <x:c r="K24" s="56"/>
      <x:c r="L24" s="155"/>
      <x:c r="M24" s="56"/>
      <x:c r="N24" s="107" t="str">
        <x:v>Commercial model</x:v>
      </x:c>
    </x:row>
    <x:row r="25">
      <x:c r="A25" s="55" t="str">
        <x:v>RFP-22</x:v>
      </x:c>
      <x:c r="B25" s="2" t="str">
        <x:v>Legal</x:v>
      </x:c>
      <x:c r="C25" s="2" t="str">
        <x:v>Разрешена ли перепродажа сырых или производных данных?</x:v>
      </x:c>
      <x:c r="D25" s="2" t="str">
        <x:v>Is resale of raw or derived data permitted?</x:v>
      </x:c>
      <x:c r="E25" s="2" t="str">
        <x:v>Critical</x:v>
      </x:c>
      <x:c r="F25" s="2" t="str">
        <x:v>Yes</x:v>
      </x:c>
      <x:c r="G25" s="56" t="str">
        <x:v>Not requested</x:v>
      </x:c>
      <x:c r="H25" s="56" t="str">
        <x:v>Not requested</x:v>
      </x:c>
      <x:c r="I25" s="56" t="str">
        <x:v>Not requested</x:v>
      </x:c>
      <x:c r="J25" s="56" t="str">
        <x:v>Not requested</x:v>
      </x:c>
      <x:c r="K25" s="56"/>
      <x:c r="L25" s="155"/>
      <x:c r="M25" s="56"/>
      <x:c r="N25" s="107" t="str">
        <x:v>Revenue-model viability</x:v>
      </x:c>
    </x:row>
    <x:row r="26">
      <x:c r="A26" s="55" t="str">
        <x:v>RFP-23</x:v>
      </x:c>
      <x:c r="B26" s="2" t="str">
        <x:v>Legal</x:v>
      </x:c>
      <x:c r="C26" s="2" t="str">
        <x:v>Какие требования применяются к персональным данным?</x:v>
      </x:c>
      <x:c r="D26" s="2" t="str">
        <x:v>What personal-data requirements apply?</x:v>
      </x:c>
      <x:c r="E26" s="2" t="str">
        <x:v>Critical</x:v>
      </x:c>
      <x:c r="F26" s="2" t="str">
        <x:v>Yes</x:v>
      </x:c>
      <x:c r="G26" s="56" t="str">
        <x:v>Not requested</x:v>
      </x:c>
      <x:c r="H26" s="56" t="str">
        <x:v>Not requested</x:v>
      </x:c>
      <x:c r="I26" s="56" t="str">
        <x:v>Not requested</x:v>
      </x:c>
      <x:c r="J26" s="56" t="str">
        <x:v>Not requested</x:v>
      </x:c>
      <x:c r="K26" s="56"/>
      <x:c r="L26" s="155"/>
      <x:c r="M26" s="56"/>
      <x:c r="N26" s="107" t="str">
        <x:v>Compliance</x:v>
      </x:c>
    </x:row>
    <x:row r="27">
      <x:c r="A27" s="55" t="str">
        <x:v>RFP-24</x:v>
      </x:c>
      <x:c r="B27" s="2" t="str">
        <x:v>Security</x:v>
      </x:c>
      <x:c r="C27" s="2" t="str">
        <x:v>Где обрабатываются и хранятся данные?</x:v>
      </x:c>
      <x:c r="D27" s="2" t="str">
        <x:v>Where are data processed and stored?</x:v>
      </x:c>
      <x:c r="E27" s="2" t="str">
        <x:v>High</x:v>
      </x:c>
      <x:c r="F27" s="2" t="str">
        <x:v>Yes</x:v>
      </x:c>
      <x:c r="G27" s="56" t="str">
        <x:v>Not requested</x:v>
      </x:c>
      <x:c r="H27" s="56" t="str">
        <x:v>Not requested</x:v>
      </x:c>
      <x:c r="I27" s="56" t="str">
        <x:v>Not requested</x:v>
      </x:c>
      <x:c r="J27" s="56" t="str">
        <x:v>Not requested</x:v>
      </x:c>
      <x:c r="K27" s="56"/>
      <x:c r="L27" s="155"/>
      <x:c r="M27" s="56"/>
      <x:c r="N27" s="107" t="str">
        <x:v>Jurisdiction and security</x:v>
      </x:c>
    </x:row>
    <x:row r="28">
      <x:c r="A28" s="55" t="str">
        <x:v>RFP-25</x:v>
      </x:c>
      <x:c r="B28" s="2" t="str">
        <x:v>Security</x:v>
      </x:c>
      <x:c r="C28" s="2" t="str">
        <x:v>Есть ли DPA, аудит, сертификации и журнал доступа?</x:v>
      </x:c>
      <x:c r="D28" s="2" t="str">
        <x:v>Is there a DPA, audit evidence, certification, and access logging?</x:v>
      </x:c>
      <x:c r="E28" s="2" t="str">
        <x:v>High</x:v>
      </x:c>
      <x:c r="F28" s="2" t="str">
        <x:v>Yes</x:v>
      </x:c>
      <x:c r="G28" s="56" t="str">
        <x:v>Not requested</x:v>
      </x:c>
      <x:c r="H28" s="56" t="str">
        <x:v>Not requested</x:v>
      </x:c>
      <x:c r="I28" s="56" t="str">
        <x:v>Not requested</x:v>
      </x:c>
      <x:c r="J28" s="56" t="str">
        <x:v>Not requested</x:v>
      </x:c>
      <x:c r="K28" s="56"/>
      <x:c r="L28" s="155"/>
      <x:c r="M28" s="56"/>
      <x:c r="N28" s="107" t="str">
        <x:v>Vendor assurance</x:v>
      </x:c>
    </x:row>
    <x:row r="29">
      <x:c r="A29" s="55" t="str">
        <x:v>RFP-26</x:v>
      </x:c>
      <x:c r="B29" s="2" t="str">
        <x:v>Support</x:v>
      </x:c>
      <x:c r="C29" s="2" t="str">
        <x:v>Какие часы и каналы поддержки входят в тариф?</x:v>
      </x:c>
      <x:c r="D29" s="2" t="str">
        <x:v>What support hours and channels are included?</x:v>
      </x:c>
      <x:c r="E29" s="2" t="str">
        <x:v>Medium</x:v>
      </x:c>
      <x:c r="F29" s="2" t="str">
        <x:v>No</x:v>
      </x:c>
      <x:c r="G29" s="56" t="str">
        <x:v>Not requested</x:v>
      </x:c>
      <x:c r="H29" s="56" t="str">
        <x:v>Not requested</x:v>
      </x:c>
      <x:c r="I29" s="56" t="str">
        <x:v>Not requested</x:v>
      </x:c>
      <x:c r="J29" s="56" t="str">
        <x:v>Not requested</x:v>
      </x:c>
      <x:c r="K29" s="56"/>
      <x:c r="L29" s="155"/>
      <x:c r="M29" s="56"/>
      <x:c r="N29" s="107" t="str">
        <x:v>Operating model</x:v>
      </x:c>
    </x:row>
    <x:row r="30">
      <x:c r="A30" s="55" t="str">
        <x:v>RFP-27</x:v>
      </x:c>
      <x:c r="B30" s="2" t="str">
        <x:v>Support</x:v>
      </x:c>
      <x:c r="C30" s="2" t="str">
        <x:v>Каков SLA ответа на критический инцидент?</x:v>
      </x:c>
      <x:c r="D30" s="2" t="str">
        <x:v>What is the response SLA for a critical incident?</x:v>
      </x:c>
      <x:c r="E30" s="2" t="str">
        <x:v>High</x:v>
      </x:c>
      <x:c r="F30" s="2" t="str">
        <x:v>Yes</x:v>
      </x:c>
      <x:c r="G30" s="56" t="str">
        <x:v>Not requested</x:v>
      </x:c>
      <x:c r="H30" s="56" t="str">
        <x:v>Not requested</x:v>
      </x:c>
      <x:c r="I30" s="56" t="str">
        <x:v>Not requested</x:v>
      </x:c>
      <x:c r="J30" s="56" t="str">
        <x:v>Not requested</x:v>
      </x:c>
      <x:c r="K30" s="56"/>
      <x:c r="L30" s="155"/>
      <x:c r="M30" s="56"/>
      <x:c r="N30" s="107" t="str">
        <x:v>Incident handling</x:v>
      </x:c>
    </x:row>
    <x:row r="31">
      <x:c r="A31" s="55" t="str">
        <x:v>RFP-28</x:v>
      </x:c>
      <x:c r="B31" s="2" t="str">
        <x:v>Exit</x:v>
      </x:c>
      <x:c r="C31" s="2" t="str">
        <x:v>Как получить экспорт данных при расторжении?</x:v>
      </x:c>
      <x:c r="D31" s="2" t="str">
        <x:v>How can data be exported at termination?</x:v>
      </x:c>
      <x:c r="E31" s="2" t="str">
        <x:v>High</x:v>
      </x:c>
      <x:c r="F31" s="2" t="str">
        <x:v>Yes</x:v>
      </x:c>
      <x:c r="G31" s="56" t="str">
        <x:v>Not requested</x:v>
      </x:c>
      <x:c r="H31" s="56" t="str">
        <x:v>Not requested</x:v>
      </x:c>
      <x:c r="I31" s="56" t="str">
        <x:v>Not requested</x:v>
      </x:c>
      <x:c r="J31" s="56" t="str">
        <x:v>Not requested</x:v>
      </x:c>
      <x:c r="K31" s="56"/>
      <x:c r="L31" s="155"/>
      <x:c r="M31" s="56"/>
      <x:c r="N31" s="107" t="str">
        <x:v>Exit risk</x:v>
      </x:c>
    </x:row>
    <x:row r="32">
      <x:c r="A32" s="55" t="str">
        <x:v>RFP-29</x:v>
      </x:c>
      <x:c r="B32" s="2" t="str">
        <x:v>Exit</x:v>
      </x:c>
      <x:c r="C32" s="2" t="str">
        <x:v>Каков срок уведомления об изменении цены или прекращении продукта?</x:v>
      </x:c>
      <x:c r="D32" s="2" t="str">
        <x:v>What notice is provided for price changes or product termination?</x:v>
      </x:c>
      <x:c r="E32" s="2" t="str">
        <x:v>Critical</x:v>
      </x:c>
      <x:c r="F32" s="2" t="str">
        <x:v>Yes</x:v>
      </x:c>
      <x:c r="G32" s="56" t="str">
        <x:v>Not requested</x:v>
      </x:c>
      <x:c r="H32" s="56" t="str">
        <x:v>Not requested</x:v>
      </x:c>
      <x:c r="I32" s="56" t="str">
        <x:v>Not requested</x:v>
      </x:c>
      <x:c r="J32" s="56" t="str">
        <x:v>Not requested</x:v>
      </x:c>
      <x:c r="K32" s="56"/>
      <x:c r="L32" s="155"/>
      <x:c r="M32" s="56"/>
      <x:c r="N32" s="107" t="str">
        <x:v>Vendor risk</x:v>
      </x:c>
    </x:row>
    <x:row r="33">
      <x:c r="A33" s="59" t="str">
        <x:v>RFP-30</x:v>
      </x:c>
      <x:c r="B33" s="60" t="str">
        <x:v>Testing</x:v>
      </x:c>
      <x:c r="C33" s="60" t="str">
        <x:v>Предоставьте тестовый доступ с production-подобными лимитами и данными.</x:v>
      </x:c>
      <x:c r="D33" s="60" t="str">
        <x:v>Provide test access with production-like limits and data.</x:v>
      </x:c>
      <x:c r="E33" s="60" t="str">
        <x:v>High</x:v>
      </x:c>
      <x:c r="F33" s="60" t="str">
        <x:v>Yes</x:v>
      </x:c>
      <x:c r="G33" s="61" t="str">
        <x:v>Not requested</x:v>
      </x:c>
      <x:c r="H33" s="61" t="str">
        <x:v>Not requested</x:v>
      </x:c>
      <x:c r="I33" s="61" t="str">
        <x:v>Not requested</x:v>
      </x:c>
      <x:c r="J33" s="61" t="str">
        <x:v>Not requested</x:v>
      </x:c>
      <x:c r="K33" s="61"/>
      <x:c r="L33" s="156"/>
      <x:c r="M33" s="61"/>
      <x:c r="N33" s="110" t="str">
        <x:v>Valid evaluation</x:v>
      </x:c>
    </x:row>
  </x:sheetData>
  <x:mergeCells>
    <x:mergeCell ref="A1:N1"/>
  </x:mergeCells>
  <x:dataValidations count="5">
    <x:dataValidation type="list" sqref="G4:G33">
      <x:formula1>Lists!$B$2:$B$5</x:formula1>
    </x:dataValidation>
    <x:dataValidation type="list" sqref="H4:H33">
      <x:formula1>Lists!$B$2:$B$5</x:formula1>
    </x:dataValidation>
    <x:dataValidation type="list" sqref="I4:I33">
      <x:formula1>Lists!$B$2:$B$5</x:formula1>
    </x:dataValidation>
    <x:dataValidation type="list" sqref="J4:J33">
      <x:formula1>Lists!$B$2:$B$5</x:formula1>
    </x:dataValidation>
    <x:dataValidation type="list" sqref="E4:E33">
      <x:formula1>Lists!$C$2:$C$6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8f1b92566644e7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48" hidden="0" customWidth="1"/>
    <x:col min="4" max="4" width="55" hidden="0" customWidth="1"/>
    <x:col min="5" max="5" width="13" hidden="0" customWidth="1"/>
    <x:col min="6" max="6" width="18" hidden="0" customWidth="1"/>
  </x:cols>
  <x:sheetData>
    <x:row r="1">
      <x:c r="A1" s="15" t="str">
        <x:v>Official Research Sources / Официальные источники</x:v>
      </x:c>
      <x:c r="B1" s="15"/>
      <x:c r="C1" s="15"/>
      <x:c r="D1" s="15"/>
      <x:c r="E1" s="15"/>
      <x:c r="F1" s="15"/>
    </x:row>
    <x:row r="3">
      <x:c r="A3" s="34" t="str">
        <x:v>Provider</x:v>
      </x:c>
      <x:c r="B3" s="35" t="str">
        <x:v>Topic</x:v>
      </x:c>
      <x:c r="C3" s="35" t="str">
        <x:v>Fact Used</x:v>
      </x:c>
      <x:c r="D3" s="35" t="str">
        <x:v>Official URL</x:v>
      </x:c>
      <x:c r="E3" s="35" t="str">
        <x:v>Checked</x:v>
      </x:c>
      <x:c r="F3" s="36" t="str">
        <x:v>Evidence Status</x:v>
      </x:c>
    </x:row>
    <x:row r="4">
      <x:c r="A4" s="55" t="str">
        <x:v>DaData</x:v>
      </x:c>
      <x:c r="B4" s="2" t="str">
        <x:v>Company lookup</x:v>
      </x:c>
      <x:c r="C4" s="2" t="str">
        <x:v>Free up to 10k/day; max 30 req/s/IP; endpoint and fields</x:v>
      </x:c>
      <x:c r="D4" s="2" t="str">
        <x:v>https://dadata.ru/api/find-party/</x:v>
      </x:c>
      <x:c r="E4" s="161" t="n">
        <x:v>46227</x:v>
      </x:c>
      <x:c r="F4" s="107" t="str">
        <x:v>verified</x:v>
      </x:c>
    </x:row>
    <x:row r="5">
      <x:c r="A5" s="55" t="str">
        <x:v>DaData</x:v>
      </x:c>
      <x:c r="B5" s="2" t="str">
        <x:v>Pricing</x:v>
      </x:c>
      <x:c r="C5" s="2" t="str">
        <x:v>Subscription tiers and field completeness</x:v>
      </x:c>
      <x:c r="D5" s="2" t="str">
        <x:v>https://dadata.ru/pricing/</x:v>
      </x:c>
      <x:c r="E5" s="161" t="n">
        <x:v>46227</x:v>
      </x:c>
      <x:c r="F5" s="107" t="str">
        <x:v>verified</x:v>
      </x:c>
    </x:row>
    <x:row r="6">
      <x:c r="A6" s="55" t="str">
        <x:v>Kontur.Focus API</x:v>
      </x:c>
      <x:c r="B6" s="2" t="str">
        <x:v>API product</x:v>
      </x:c>
      <x:c r="C6" s="2" t="str">
        <x:v>Enterprise API integration and support model</x:v>
      </x:c>
      <x:c r="D6" s="2" t="str">
        <x:v>https://focus.kontur.ru/site/api</x:v>
      </x:c>
      <x:c r="E6" s="161" t="n">
        <x:v>46227</x:v>
      </x:c>
      <x:c r="F6" s="107" t="str">
        <x:v>verified</x:v>
      </x:c>
    </x:row>
    <x:row r="7">
      <x:c r="A7" s="55" t="str">
        <x:v>Kontur.Focus API</x:v>
      </x:c>
      <x:c r="B7" s="2" t="str">
        <x:v>License</x:v>
      </x:c>
      <x:c r="C7" s="2" t="str">
        <x:v>Developer key and API license definitions</x:v>
      </x:c>
      <x:c r="D7" s="2" t="str">
        <x:v>https://focus.kontur.ru/site/price/license</x:v>
      </x:c>
      <x:c r="E7" s="161" t="n">
        <x:v>46227</x:v>
      </x:c>
      <x:c r="F7" s="107" t="str">
        <x:v>verified</x:v>
      </x:c>
    </x:row>
    <x:row r="8">
      <x:c r="A8" s="55" t="str">
        <x:v>Kontur.Focus API</x:v>
      </x:c>
      <x:c r="B8" s="2" t="str">
        <x:v>Integrations</x:v>
      </x:c>
      <x:c r="C8" s="2" t="str">
        <x:v>External systems and demo technical site</x:v>
      </x:c>
      <x:c r="D8" s="2" t="str">
        <x:v>https://focus.kontur.ru/site/features/api</x:v>
      </x:c>
      <x:c r="E8" s="161" t="n">
        <x:v>46227</x:v>
      </x:c>
      <x:c r="F8" s="107" t="str">
        <x:v>verified</x:v>
      </x:c>
    </x:row>
    <x:row r="9">
      <x:c r="A9" s="55" t="str">
        <x:v>Seldon.Basis API</x:v>
      </x:c>
      <x:c r="B9" s="2" t="str">
        <x:v>API product</x:v>
      </x:c>
      <x:c r="C9" s="2" t="str">
        <x:v>CRM integration and method catalog</x:v>
      </x:c>
      <x:c r="D9" s="2" t="str">
        <x:v>https://seldongroup.ru/system/basis/api</x:v>
      </x:c>
      <x:c r="E9" s="161" t="n">
        <x:v>46227</x:v>
      </x:c>
      <x:c r="F9" s="107" t="str">
        <x:v>verified</x:v>
      </x:c>
    </x:row>
    <x:row r="10">
      <x:c r="A10" s="55" t="str">
        <x:v>Seldon.Basis API</x:v>
      </x:c>
      <x:c r="B10" s="2" t="str">
        <x:v>Technical claims</x:v>
      </x:c>
      <x:c r="C10" s="2" t="str">
        <x:v>JSON, batch up to 1000 INNs, push notifications</x:v>
      </x:c>
      <x:c r="D10" s="2" t="str">
        <x:v>https://seldongroup.ru/kakie-dannye-mozhno-poluchit-cherez-api-seldon-basis</x:v>
      </x:c>
      <x:c r="E10" s="161" t="n">
        <x:v>46227</x:v>
      </x:c>
      <x:c r="F10" s="107" t="str">
        <x:v>provider-reported</x:v>
      </x:c>
    </x:row>
    <x:row r="11">
      <x:c r="A11" s="55" t="str">
        <x:v>FTS EGRUL/EGRIP</x:v>
      </x:c>
      <x:c r="B11" s="2" t="str">
        <x:v>Delivery model</x:v>
      </x:c>
      <x:c r="C11" s="2" t="str">
        <x:v>FTP archives, XML, historical and daily changes</x:v>
      </x:c>
      <x:c r="D11" s="2" t="str">
        <x:v>https://www.nalog.gov.ru/rn77/service/egrip2/egrip_vzayim/</x:v>
      </x:c>
      <x:c r="E11" s="161" t="n">
        <x:v>46227</x:v>
      </x:c>
      <x:c r="F11" s="107" t="str">
        <x:v>verified</x:v>
      </x:c>
    </x:row>
    <x:row r="12">
      <x:c r="A12" s="59" t="str">
        <x:v>FTS EGRUL/EGRIP</x:v>
      </x:c>
      <x:c r="B12" s="60" t="str">
        <x:v>Access fees</x:v>
      </x:c>
      <x:c r="C12" s="60" t="str">
        <x:v>Annual and one-time fees per registry</x:v>
      </x:c>
      <x:c r="D12" s="60" t="str">
        <x:v>https://www.nalog.gov.ru/rn77/service/egrip2/access_order/</x:v>
      </x:c>
      <x:c r="E12" s="162" t="n">
        <x:v>46227</x:v>
      </x:c>
      <x:c r="F12" s="110" t="str">
        <x:v>verified</x:v>
      </x:c>
    </x:row>
  </x:sheetData>
  <x:mergeCells>
    <x:mergeCell ref="A1:F1"/>
  </x:mergeCells>
  <x:dataValidations count="1">
    <x:dataValidation type="list" sqref="F4:F12">
      <x:formula1>Lists!$A$2:$A$6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b07f96ab4042a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7" hidden="0" customWidth="1"/>
    <x:col min="4" max="4" width="18" hidden="0" customWidth="1"/>
    <x:col min="5" max="5" width="16" hidden="0" customWidth="1"/>
    <x:col min="6" max="6" width="17" hidden="0" customWidth="1"/>
    <x:col min="7" max="7" width="15" hidden="0" customWidth="1"/>
    <x:col min="8" max="8" width="20" hidden="0" customWidth="1"/>
    <x:col min="9" max="9" width="18" hidden="0" customWidth="1"/>
    <x:col min="10" max="10" width="24" hidden="0" customWidth="1"/>
  </x:cols>
  <x:sheetData>
    <x:row r="1">
      <x:c r="A1" s="15" t="str">
        <x:v>Atlas Counterparty API Procurement Dashboard</x:v>
      </x:c>
      <x:c r="B1" s="15"/>
      <x:c r="C1" s="15"/>
      <x:c r="D1" s="15"/>
      <x:c r="E1" s="15"/>
      <x:c r="F1" s="15"/>
      <x:c r="G1" s="15"/>
      <x:c r="H1" s="15"/>
      <x:c r="I1" s="15"/>
      <x:c r="J1" s="15"/>
    </x:row>
    <x:row r="2">
      <x:c r="A2" s="22" t="str">
        <x:v>Decision support, not an automatic winner. Resolve critical legal, commercial, and reliability gaps before selection.</x:v>
      </x:c>
      <x:c r="B2" s="22"/>
      <x:c r="C2" s="22"/>
      <x:c r="D2" s="22"/>
      <x:c r="E2" s="22"/>
      <x:c r="F2" s="22"/>
      <x:c r="G2" s="22"/>
      <x:c r="H2" s="22"/>
      <x:c r="I2" s="22"/>
      <x:c r="J2" s="22"/>
    </x:row>
    <x:row r="4">
      <x:c r="A4" s="34" t="str">
        <x:v>Provider</x:v>
      </x:c>
      <x:c r="B4" s="35" t="str">
        <x:v>3Y Known TCO</x:v>
      </x:c>
      <x:c r="C4" s="35" t="str">
        <x:v>TCO Completeness</x:v>
      </x:c>
      <x:c r="D4" s="35" t="str">
        <x:v>Weighted Score / 5</x:v>
      </x:c>
      <x:c r="E4" s="35" t="str">
        <x:v>Score Coverage</x:v>
      </x:c>
      <x:c r="F4" s="35" t="str">
        <x:v>Evidence Coverage</x:v>
      </x:c>
      <x:c r="G4" s="35" t="str">
        <x:v>Avg Latency ms</x:v>
      </x:c>
      <x:c r="H4" s="35" t="str">
        <x:v>Avg Required Fields %</x:v>
      </x:c>
      <x:c r="I4" s="35" t="str">
        <x:v>Critical RFP Missing</x:v>
      </x:c>
      <x:c r="J4" s="36" t="str">
        <x:v>Decision Status</x:v>
      </x:c>
    </x:row>
    <x:row r="5">
      <x:c r="A5" s="55" t="str">
        <x:v>DaData</x:v>
      </x:c>
      <x:c r="B5" s="105" t="n">
        <x:f>'TCO Calculator'!I5</x:f>
        <x:v>420000</x:v>
      </x:c>
      <x:c r="C5" s="106" t="n">
        <x:f>'TCO Calculator'!K5</x:f>
        <x:v>1</x:v>
      </x:c>
      <x:c r="D5" s="128" t="str">
        <x:f>IF('Scorecard'!B23="","",'Scorecard'!B23)</x:f>
      </x:c>
      <x:c r="E5" s="106" t="n">
        <x:f>'Scorecard'!C23</x:f>
        <x:v>0</x:v>
      </x:c>
      <x:c r="F5" s="106" t="n">
        <x:f>'Scorecard'!D23</x:f>
        <x:v>0.8571428571428571</x:v>
      </x:c>
      <x:c r="G5" s="167" t="str">
        <x:f>IFERROR(SUMIFS('Test Results'!$E$5:$E$84,'Test Results'!$B$5:$B$84,$A5)/COUNTIFS('Test Results'!$B$5:$B$84,$A5,'Test Results'!$E$5:$E$84,"&gt;0"),"")</x:f>
      </x:c>
      <x:c r="H5" s="106" t="str">
        <x:f>IFERROR(SUMIFS('Test Results'!$G$5:$G$84,'Test Results'!$B$5:$B$84,$A5)/COUNTIFS('Test Results'!$B$5:$B$84,$A5,'Test Results'!$G$5:$G$84,"&gt;0"),"")</x:f>
      </x:c>
      <x:c r="I5" s="2" t="n">
        <x:f>COUNTIFS('RFP Tracker'!$F$4:$F$33,"Yes",'RFP Tracker'!$G$4:$G$33,"&lt;&gt;Received")</x:f>
        <x:v>24</x:v>
      </x:c>
      <x:c r="J5" s="107" t="str">
        <x:f>IF(I5&gt;0,"BLOCKED: RFP GAPS",IF(OR(C5&lt;0.75,E5&lt;0.75),"INCOMPLETE",IF(D5="","AWAITING SCORES","DECISION-READY")))</x:f>
        <x:v>BLOCKED: RFP GAPS</x:v>
      </x:c>
    </x:row>
    <x:row r="6">
      <x:c r="A6" s="55" t="str">
        <x:v>Kontur.Focus API</x:v>
      </x:c>
      <x:c r="B6" s="105" t="n">
        <x:f>'TCO Calculator'!I6</x:f>
        <x:v>1020000</x:v>
      </x:c>
      <x:c r="C6" s="106" t="n">
        <x:f>'TCO Calculator'!K6</x:f>
        <x:v>0.5833333333333334</x:v>
      </x:c>
      <x:c r="D6" s="128" t="str">
        <x:f>IF('Scorecard'!B24="","",'Scorecard'!B24)</x:f>
      </x:c>
      <x:c r="E6" s="106" t="n">
        <x:f>'Scorecard'!C24</x:f>
        <x:v>0</x:v>
      </x:c>
      <x:c r="F6" s="106" t="n">
        <x:f>'Scorecard'!D24</x:f>
        <x:v>0.35714285714285715</x:v>
      </x:c>
      <x:c r="G6" s="167" t="str">
        <x:f>IFERROR(SUMIFS('Test Results'!$E$5:$E$84,'Test Results'!$B$5:$B$84,$A6)/COUNTIFS('Test Results'!$B$5:$B$84,$A6,'Test Results'!$E$5:$E$84,"&gt;0"),"")</x:f>
      </x:c>
      <x:c r="H6" s="106" t="str">
        <x:f>IFERROR(SUMIFS('Test Results'!$G$5:$G$84,'Test Results'!$B$5:$B$84,$A6)/COUNTIFS('Test Results'!$B$5:$B$84,$A6,'Test Results'!$G$5:$G$84,"&gt;0"),"")</x:f>
      </x:c>
      <x:c r="I6" s="2" t="n">
        <x:f>COUNTIFS('RFP Tracker'!$F$4:$F$33,"Yes",'RFP Tracker'!$H$4:$H$33,"&lt;&gt;Received")</x:f>
        <x:v>26</x:v>
      </x:c>
      <x:c r="J6" s="107" t="str">
        <x:f>IF(I6&gt;0,"BLOCKED: RFP GAPS",IF(OR(C6&lt;0.75,E6&lt;0.75),"INCOMPLETE",IF(D6="","AWAITING SCORES","DECISION-READY")))</x:f>
        <x:v>BLOCKED: RFP GAPS</x:v>
      </x:c>
    </x:row>
    <x:row r="7">
      <x:c r="A7" s="55" t="str">
        <x:v>Seldon.Basis API</x:v>
      </x:c>
      <x:c r="B7" s="105" t="n">
        <x:f>'TCO Calculator'!I7</x:f>
        <x:v>1020000</x:v>
      </x:c>
      <x:c r="C7" s="106" t="n">
        <x:f>'TCO Calculator'!K7</x:f>
        <x:v>0.5833333333333334</x:v>
      </x:c>
      <x:c r="D7" s="128" t="str">
        <x:f>IF('Scorecard'!B25="","",'Scorecard'!B25)</x:f>
      </x:c>
      <x:c r="E7" s="106" t="n">
        <x:f>'Scorecard'!C25</x:f>
        <x:v>0</x:v>
      </x:c>
      <x:c r="F7" s="106" t="n">
        <x:f>'Scorecard'!D25</x:f>
        <x:v>0.42857142857142855</x:v>
      </x:c>
      <x:c r="G7" s="167" t="str">
        <x:f>IFERROR(SUMIFS('Test Results'!$E$5:$E$84,'Test Results'!$B$5:$B$84,$A7)/COUNTIFS('Test Results'!$B$5:$B$84,$A7,'Test Results'!$E$5:$E$84,"&gt;0"),"")</x:f>
      </x:c>
      <x:c r="H7" s="106" t="str">
        <x:f>IFERROR(SUMIFS('Test Results'!$G$5:$G$84,'Test Results'!$B$5:$B$84,$A7)/COUNTIFS('Test Results'!$B$5:$B$84,$A7,'Test Results'!$G$5:$G$84,"&gt;0"),"")</x:f>
      </x:c>
      <x:c r="I7" s="2" t="n">
        <x:f>COUNTIFS('RFP Tracker'!$F$4:$F$33,"Yes",'RFP Tracker'!$I$4:$I$33,"&lt;&gt;Received")</x:f>
        <x:v>26</x:v>
      </x:c>
      <x:c r="J7" s="107" t="str">
        <x:f>IF(I7&gt;0,"BLOCKED: RFP GAPS",IF(OR(C7&lt;0.75,E7&lt;0.75),"INCOMPLETE",IF(D7="","AWAITING SCORES","DECISION-READY")))</x:f>
        <x:v>BLOCKED: RFP GAPS</x:v>
      </x:c>
    </x:row>
    <x:row r="8">
      <x:c r="A8" s="59" t="str">
        <x:v>FTS EGRUL/EGRIP</x:v>
      </x:c>
      <x:c r="B8" s="108" t="n">
        <x:f>'TCO Calculator'!I8</x:f>
        <x:v>6840000</x:v>
      </x:c>
      <x:c r="C8" s="109" t="n">
        <x:f>'TCO Calculator'!K8</x:f>
        <x:v>1</x:v>
      </x:c>
      <x:c r="D8" s="129" t="str">
        <x:f>IF('Scorecard'!B26="","",'Scorecard'!B26)</x:f>
      </x:c>
      <x:c r="E8" s="109" t="n">
        <x:f>'Scorecard'!C26</x:f>
        <x:v>0</x:v>
      </x:c>
      <x:c r="F8" s="109" t="n">
        <x:f>'Scorecard'!D26</x:f>
        <x:v>0.8571428571428571</x:v>
      </x:c>
      <x:c r="G8" s="168" t="str">
        <x:f>IFERROR(SUMIFS('Test Results'!$E$5:$E$84,'Test Results'!$B$5:$B$84,$A8)/COUNTIFS('Test Results'!$B$5:$B$84,$A8,'Test Results'!$E$5:$E$84,"&gt;0"),"")</x:f>
      </x:c>
      <x:c r="H8" s="109" t="str">
        <x:f>IFERROR(SUMIFS('Test Results'!$G$5:$G$84,'Test Results'!$B$5:$B$84,$A8)/COUNTIFS('Test Results'!$B$5:$B$84,$A8,'Test Results'!$G$5:$G$84,"&gt;0"),"")</x:f>
      </x:c>
      <x:c r="I8" s="60" t="n">
        <x:f>COUNTIFS('RFP Tracker'!$F$4:$F$33,"Yes",'RFP Tracker'!$J$4:$J$33,"&lt;&gt;Received")</x:f>
        <x:v>24</x:v>
      </x:c>
      <x:c r="J8" s="110" t="str">
        <x:f>IF(I8&gt;0,"BLOCKED: RFP GAPS",IF(OR(C8&lt;0.75,E8&lt;0.75),"INCOMPLETE",IF(D8="","AWAITING SCORES","DECISION-READY")))</x:f>
        <x:v>BLOCKED: RFP GAPS</x:v>
      </x:c>
    </x:row>
    <x:row r="11">
      <x:c r="A11" s="119" t="str">
        <x:v>Decision Gates / Обязательные условия</x:v>
      </x:c>
      <x:c r="B11" s="119"/>
      <x:c r="C11" s="119"/>
      <x:c r="D11" s="119"/>
      <x:c r="E11" s="119"/>
      <x:c r="G11" s="119" t="str">
        <x:v>How to Use / Как использовать</x:v>
      </x:c>
      <x:c r="H11" s="119"/>
      <x:c r="I11" s="119"/>
      <x:c r="J11" s="119"/>
    </x:row>
    <x:row r="12">
      <x:c r="A12" s="34" t="str">
        <x:v>Gate</x:v>
      </x:c>
      <x:c r="B12" s="35" t="str">
        <x:v>Rule</x:v>
      </x:c>
      <x:c r="C12" s="35" t="str">
        <x:v>Why it matters</x:v>
      </x:c>
      <x:c r="D12" s="35" t="str">
        <x:v>Current source</x:v>
      </x:c>
      <x:c r="E12" s="36" t="str">
        <x:v>Owner</x:v>
      </x:c>
      <x:c r="G12" s="177" t="str">
        <x:v>1</x:v>
      </x:c>
      <x:c r="H12" s="178" t="str">
        <x:v>Fill Provider Inputs</x:v>
      </x:c>
      <x:c r="I12" s="178" t="str">
        <x:v>Enter quotes and internal cost assumptions</x:v>
      </x:c>
      <x:c r="J12" s="179" t="str">
        <x:v>Provider Inputs</x:v>
      </x:c>
    </x:row>
    <x:row r="13">
      <x:c r="A13" s="55" t="str">
        <x:v>Commercial</x:v>
      </x:c>
      <x:c r="B13" s="2" t="str">
        <x:v>3Y TCO completeness ≥ 75%</x:v>
      </x:c>
      <x:c r="C13" s="2" t="str">
        <x:v>Avoid selecting an apparently cheap unknown offer</x:v>
      </x:c>
      <x:c r="D13" s="2" t="str">
        <x:v>TCO Calculator</x:v>
      </x:c>
      <x:c r="E13" s="58" t="str"/>
      <x:c r="G13" s="55" t="str">
        <x:v>2</x:v>
      </x:c>
      <x:c r="H13" s="2" t="str">
        <x:v>Send RFP</x:v>
      </x:c>
      <x:c r="I13" s="2" t="str">
        <x:v>Track answers and evidence</x:v>
      </x:c>
      <x:c r="J13" s="107" t="str">
        <x:v>RFP Tracker</x:v>
      </x:c>
    </x:row>
    <x:row r="14">
      <x:c r="A14" s="55" t="str">
        <x:v>Legal</x:v>
      </x:c>
      <x:c r="B14" s="2" t="str">
        <x:v>Storage and SaaS rights confirmed</x:v>
      </x:c>
      <x:c r="C14" s="2" t="str">
        <x:v>May invalidate the product architecture</x:v>
      </x:c>
      <x:c r="D14" s="2" t="str">
        <x:v>RFP Tracker</x:v>
      </x:c>
      <x:c r="E14" s="58" t="str"/>
      <x:c r="G14" s="55" t="str">
        <x:v>3</x:v>
      </x:c>
      <x:c r="H14" s="2" t="str">
        <x:v>Complete sample</x:v>
      </x:c>
      <x:c r="I14" s="2" t="str">
        <x:v>Use only lawful public identifiers</x:v>
      </x:c>
      <x:c r="J14" s="107" t="str">
        <x:v>Test Cases</x:v>
      </x:c>
    </x:row>
    <x:row r="15">
      <x:c r="A15" s="55" t="str">
        <x:v>Reliability</x:v>
      </x:c>
      <x:c r="B15" s="2" t="str">
        <x:v>SLA and production limits confirmed</x:v>
      </x:c>
      <x:c r="C15" s="2" t="str">
        <x:v>Prevents production capacity surprises</x:v>
      </x:c>
      <x:c r="D15" s="2" t="str">
        <x:v>RFP Tracker</x:v>
      </x:c>
      <x:c r="E15" s="58" t="str"/>
      <x:c r="G15" s="55" t="str">
        <x:v>4</x:v>
      </x:c>
      <x:c r="H15" s="2" t="str">
        <x:v>Run identical tests</x:v>
      </x:c>
      <x:c r="I15" s="2" t="str">
        <x:v>Record raw evidence and latency</x:v>
      </x:c>
      <x:c r="J15" s="107" t="str">
        <x:v>Test Results</x:v>
      </x:c>
    </x:row>
    <x:row r="16">
      <x:c r="A16" s="55" t="str">
        <x:v>Data</x:v>
      </x:c>
      <x:c r="B16" s="2" t="str">
        <x:v>Critical fields tested on shared sample</x:v>
      </x:c>
      <x:c r="C16" s="2" t="str">
        <x:v>Marketing coverage is not measured coverage</x:v>
      </x:c>
      <x:c r="D16" s="2" t="str">
        <x:v>Test Results</x:v>
      </x:c>
      <x:c r="E16" s="58" t="str"/>
      <x:c r="G16" s="55" t="str">
        <x:v>5</x:v>
      </x:c>
      <x:c r="H16" s="2" t="str">
        <x:v>Score with evidence</x:v>
      </x:c>
      <x:c r="I16" s="2" t="str">
        <x:v>Do not score unknowns</x:v>
      </x:c>
      <x:c r="J16" s="107" t="str">
        <x:v>Scorecard</x:v>
      </x:c>
    </x:row>
    <x:row r="17">
      <x:c r="A17" s="59" t="str">
        <x:v>Security</x:v>
      </x:c>
      <x:c r="B17" s="60" t="str">
        <x:v>Credentials and data-processing model approved</x:v>
      </x:c>
      <x:c r="C17" s="60" t="str">
        <x:v>Required for vendor and compliance review</x:v>
      </x:c>
      <x:c r="D17" s="60" t="str">
        <x:v>RFP Tracker</x:v>
      </x:c>
      <x:c r="E17" s="63" t="str"/>
      <x:c r="G17" s="59" t="str">
        <x:v>6</x:v>
      </x:c>
      <x:c r="H17" s="60" t="str">
        <x:v>Review decision gates</x:v>
      </x:c>
      <x:c r="I17" s="60" t="str">
        <x:v>Choose by scenario, not one global winner</x:v>
      </x:c>
      <x:c r="J17" s="110" t="str">
        <x:v>Dashboard</x:v>
      </x:c>
    </x:row>
  </x:sheetData>
  <x:mergeCells>
    <x:mergeCell ref="A1:J1"/>
    <x:mergeCell ref="A2:J2"/>
    <x:mergeCell ref="A11:E11"/>
    <x:mergeCell ref="G11:J11"/>
  </x:mergeCells>
  <x:conditionalFormatting sqref="B5:B8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conditionalFormatting sqref="D5:D8">
    <x:cfRule type="dataBar" priority="2">
      <x:dataBar>
        <x:cfvo type="min"/>
        <x:cfvo type="max"/>
        <x:color rgb="FFE97132"/>
      </x:dataBar>
      <x:extLst>
        <x:ext xmlns:x14="http://schemas.microsoft.com/office/spreadsheetml/2009/9/main" uri="{B025F937-C7B1-47D3-B67F-A62EFF666E3E}">
          <x14:id>{169BE573-5479-287D-BE93-74B15E11EBFA}</x14:id>
        </x:ext>
      </x:extLst>
    </x:cfRule>
  </x:conditionalFormatting>
  <x:conditionalFormatting sqref="C5:C8">
    <x:cfRule type="colorScale" priority="3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E5:F8">
    <x:cfRule type="colorScale" priority="4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I5:I8">
    <x:cfRule type="dataBar" priority="5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{A2C5F989-CA60-2928-DF8F-0A7C5049F2CB}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156082"/>
            </x14:dataBar>
          </x14:cfRule>
          <xm:sqref>B5:B8</xm:sqref>
        </x14:conditionalFormatting>
        <x14:conditionalFormatting>
          <x14:cfRule type="dataBar" priority="2" id="{169BE573-5479-287D-BE93-74B15E11EBFA}">
            <x14:dataBar gradient="1">
              <x14:cfvo type="min"/>
              <x14:cfvo type="max"/>
              <x14:fillColor rgb="FFE97132"/>
            </x14:dataBar>
          </x14:cfRule>
          <xm:sqref>D5:D8</xm:sqref>
        </x14:conditionalFormatting>
        <x14:conditionalFormatting>
          <x14:cfRule type="dataBar" priority="5" id="{A2C5F989-CA60-2928-DF8F-0A7C5049F2CB}">
            <x14:dataBar gradient="1">
              <x14:cfvo type="min"/>
              <x14:cfvo type="max"/>
              <x14:fillColor rgb="FF0F9ED5"/>
            </x14:dataBar>
          </x14:cfRule>
          <xm:sqref>I5:I8</xm:sqref>
        </x14:conditionalFormatting>
      </x14:conditionalFormattings>
    </x:ext>
  </x:extLst>
</x:worksheet>
</file>